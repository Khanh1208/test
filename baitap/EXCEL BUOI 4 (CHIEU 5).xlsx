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32C2877C-A89A-4AA3-B87F-5DDF263EFA8A}" xr6:coauthVersionLast="47" xr6:coauthVersionMax="47" xr10:uidLastSave="{00000000-0000-0000-0000-000000000000}"/>
  <bookViews>
    <workbookView xWindow="-120" yWindow="-120" windowWidth="29040" windowHeight="15840" xr2:uid="{C243887A-BA1E-4EC0-ABF5-E2BA5DFFA346}"/>
  </bookViews>
  <sheets>
    <sheet name="BAI 1" sheetId="6" r:id="rId1"/>
    <sheet name="BAI 2" sheetId="1" r:id="rId2"/>
    <sheet name="BAI 3" sheetId="3" r:id="rId3"/>
    <sheet name="BAI 4" sheetId="4" r:id="rId4"/>
    <sheet name="BAI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1" i="1" l="1"/>
  <c r="N10" i="1"/>
  <c r="K4" i="1"/>
  <c r="K5" i="1"/>
  <c r="K6" i="1"/>
  <c r="K7" i="1"/>
  <c r="K8" i="1"/>
  <c r="K9" i="1"/>
  <c r="N9" i="1" s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H6" i="6"/>
  <c r="H7" i="6"/>
  <c r="H8" i="6"/>
  <c r="H9" i="6"/>
  <c r="H10" i="6"/>
  <c r="H11" i="6"/>
  <c r="H5" i="6"/>
  <c r="C34" i="4"/>
  <c r="C33" i="4"/>
  <c r="C30" i="4"/>
  <c r="C31" i="4"/>
  <c r="C32" i="4"/>
  <c r="C29" i="4"/>
  <c r="L8" i="4"/>
  <c r="L9" i="4"/>
  <c r="L10" i="4"/>
  <c r="L11" i="4"/>
  <c r="L12" i="4"/>
  <c r="L13" i="4"/>
  <c r="L14" i="4"/>
  <c r="L15" i="4"/>
  <c r="L16" i="4"/>
  <c r="L7" i="4"/>
  <c r="K8" i="4"/>
  <c r="K9" i="4"/>
  <c r="K10" i="4"/>
  <c r="K11" i="4"/>
  <c r="K12" i="4"/>
  <c r="K13" i="4"/>
  <c r="K14" i="4"/>
  <c r="K15" i="4"/>
  <c r="K16" i="4"/>
  <c r="K7" i="4"/>
  <c r="J8" i="4"/>
  <c r="J9" i="4"/>
  <c r="J10" i="4"/>
  <c r="J11" i="4"/>
  <c r="J12" i="4"/>
  <c r="J13" i="4"/>
  <c r="J14" i="4"/>
  <c r="J15" i="4"/>
  <c r="J16" i="4"/>
  <c r="J7" i="4"/>
  <c r="I8" i="4"/>
  <c r="I9" i="4"/>
  <c r="I10" i="4"/>
  <c r="I11" i="4"/>
  <c r="I12" i="4"/>
  <c r="I13" i="4"/>
  <c r="I14" i="4"/>
  <c r="I15" i="4"/>
  <c r="I16" i="4"/>
  <c r="I7" i="4"/>
  <c r="H8" i="4"/>
  <c r="H9" i="4"/>
  <c r="H10" i="4"/>
  <c r="H11" i="4"/>
  <c r="H12" i="4"/>
  <c r="H13" i="4"/>
  <c r="H14" i="4"/>
  <c r="H15" i="4"/>
  <c r="H16" i="4"/>
  <c r="H7" i="4"/>
  <c r="G8" i="4"/>
  <c r="G9" i="4"/>
  <c r="G10" i="4"/>
  <c r="G11" i="4"/>
  <c r="G12" i="4"/>
  <c r="G13" i="4"/>
  <c r="G14" i="4"/>
  <c r="G15" i="4"/>
  <c r="G16" i="4"/>
  <c r="G7" i="4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" i="1"/>
  <c r="I5" i="3"/>
  <c r="J5" i="3" s="1"/>
  <c r="I6" i="3"/>
  <c r="J6" i="3" s="1"/>
  <c r="I7" i="3"/>
  <c r="J7" i="3" s="1"/>
  <c r="H24" i="3" s="1"/>
  <c r="I8" i="3"/>
  <c r="J8" i="3" s="1"/>
  <c r="I9" i="3"/>
  <c r="J9" i="3" s="1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 s="1"/>
  <c r="I17" i="3"/>
  <c r="J17" i="3" s="1"/>
  <c r="I4" i="3"/>
  <c r="J4" i="3" s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4" i="3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" i="1"/>
  <c r="G6" i="6"/>
  <c r="G7" i="6"/>
  <c r="G8" i="6"/>
  <c r="G9" i="6"/>
  <c r="G10" i="6"/>
  <c r="G11" i="6"/>
  <c r="G5" i="6"/>
  <c r="F6" i="6"/>
  <c r="F7" i="6"/>
  <c r="F8" i="6"/>
  <c r="F9" i="6"/>
  <c r="F10" i="6"/>
  <c r="F11" i="6"/>
  <c r="F5" i="6"/>
  <c r="D6" i="6"/>
  <c r="D7" i="6"/>
  <c r="D8" i="6"/>
  <c r="D9" i="6"/>
  <c r="D10" i="6"/>
  <c r="D11" i="6"/>
  <c r="D5" i="6"/>
  <c r="F16" i="4"/>
  <c r="F15" i="4"/>
  <c r="F14" i="4"/>
  <c r="F13" i="4"/>
  <c r="F12" i="4"/>
  <c r="F11" i="4"/>
  <c r="F10" i="4"/>
  <c r="F9" i="4"/>
  <c r="F8" i="4"/>
  <c r="F7" i="4"/>
  <c r="E16" i="4"/>
  <c r="E15" i="4"/>
  <c r="E14" i="4"/>
  <c r="E13" i="4"/>
  <c r="E12" i="4"/>
  <c r="E11" i="4"/>
  <c r="E10" i="4"/>
  <c r="E9" i="4"/>
  <c r="E8" i="4"/>
  <c r="E7" i="4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H23" i="3" l="1"/>
  <c r="H22" i="3"/>
  <c r="H21" i="3"/>
  <c r="J18" i="3"/>
</calcChain>
</file>

<file path=xl/sharedStrings.xml><?xml version="1.0" encoding="utf-8"?>
<sst xmlns="http://schemas.openxmlformats.org/spreadsheetml/2006/main" count="305" uniqueCount="274">
  <si>
    <t>KẾT QUẢ THI MÔN TIN HỌC 2022</t>
  </si>
  <si>
    <t>Bảng Điểm Chuyên cần</t>
  </si>
  <si>
    <t>Mã số</t>
  </si>
  <si>
    <t>Họ và tên</t>
  </si>
  <si>
    <t>Windows</t>
  </si>
  <si>
    <t>Word</t>
  </si>
  <si>
    <t>Excel</t>
  </si>
  <si>
    <t>Powerpoint</t>
  </si>
  <si>
    <t>Điểm trung bình</t>
  </si>
  <si>
    <t>Điểm 
chuyên cần</t>
  </si>
  <si>
    <t>Tổng điểm</t>
  </si>
  <si>
    <t>Điểm làm tròn</t>
  </si>
  <si>
    <t>Kết quả</t>
  </si>
  <si>
    <t>Điểm chuyên cần</t>
  </si>
  <si>
    <t>2T015</t>
  </si>
  <si>
    <t>Nguyễn Phi Hành </t>
  </si>
  <si>
    <t>2T021</t>
  </si>
  <si>
    <t>Phạm Thanh Hiếu </t>
  </si>
  <si>
    <t>1K007</t>
  </si>
  <si>
    <t>Nguyễn Thành Đạt </t>
  </si>
  <si>
    <t>2K019</t>
  </si>
  <si>
    <t>Lê Trung Hiếu </t>
  </si>
  <si>
    <t>3K028</t>
  </si>
  <si>
    <t>Trần Quốc Huy </t>
  </si>
  <si>
    <t>Bảng thống kê</t>
  </si>
  <si>
    <t>2D020</t>
  </si>
  <si>
    <t>Nguyễn Minh Hiếu </t>
  </si>
  <si>
    <t>Mục thống kê</t>
  </si>
  <si>
    <t>Số lượng</t>
  </si>
  <si>
    <t>2T027</t>
  </si>
  <si>
    <t>Tăng Hoàng Huy </t>
  </si>
  <si>
    <t>Số thí sinh đậu</t>
  </si>
  <si>
    <t>1K029</t>
  </si>
  <si>
    <t>Khấu Minh Hưng </t>
  </si>
  <si>
    <t>Số thí sinh rớt</t>
  </si>
  <si>
    <t>2D014</t>
  </si>
  <si>
    <t>Võ Phúc Giàu </t>
  </si>
  <si>
    <t>Số thí sinh có điểm trung bình &gt;=8</t>
  </si>
  <si>
    <t>2K006</t>
  </si>
  <si>
    <t>Nguyễn Cảnh Đạt </t>
  </si>
  <si>
    <t>1T013</t>
  </si>
  <si>
    <t>Lê Thiện Giác </t>
  </si>
  <si>
    <t>Bảng điểm làm tròn</t>
  </si>
  <si>
    <t>2D005</t>
  </si>
  <si>
    <t>Lê Hưng Đạt </t>
  </si>
  <si>
    <t>Phần thập phân</t>
  </si>
  <si>
    <t>Làm tròn</t>
  </si>
  <si>
    <t>Diễn giải</t>
  </si>
  <si>
    <t>1K010</t>
  </si>
  <si>
    <t>Trần Hải Đăng </t>
  </si>
  <si>
    <t>0.00 &lt;= Phần thập phân &lt; 0.25</t>
  </si>
  <si>
    <t>3K024</t>
  </si>
  <si>
    <t>Bùi Hoàng Huy </t>
  </si>
  <si>
    <t>0.25 &lt;= Phần thập phân &lt; 0.75</t>
  </si>
  <si>
    <t>1K023</t>
  </si>
  <si>
    <t>Nguyễn Minh Hoàng </t>
  </si>
  <si>
    <t>Phần thập phân &gt;= 0.75</t>
  </si>
  <si>
    <t>1T004</t>
  </si>
  <si>
    <t>Dương Thành Đạt </t>
  </si>
  <si>
    <t>3K009</t>
  </si>
  <si>
    <t>Nguyễn Hải Đăng </t>
  </si>
  <si>
    <t>1D012</t>
  </si>
  <si>
    <t>Trần Dương Đông </t>
  </si>
  <si>
    <t>1K017</t>
  </si>
  <si>
    <t>Phạm Văn Hậu </t>
  </si>
  <si>
    <t>3K022</t>
  </si>
  <si>
    <t>Phạm Minh Hiệu </t>
  </si>
  <si>
    <t>3K018</t>
  </si>
  <si>
    <t>Hồ Minh Hiếu </t>
  </si>
  <si>
    <t>3K016</t>
  </si>
  <si>
    <t>Nguyễn Việt Hào </t>
  </si>
  <si>
    <t>2T002</t>
  </si>
  <si>
    <t>Lê Thanh Dương </t>
  </si>
  <si>
    <t>1D003</t>
  </si>
  <si>
    <t>Văn Thanh Dương </t>
  </si>
  <si>
    <t>2T008</t>
  </si>
  <si>
    <t>Trần Tiến Đạt </t>
  </si>
  <si>
    <t>1T011</t>
  </si>
  <si>
    <t>Trần Mạnh Đình </t>
  </si>
  <si>
    <t>1T001</t>
  </si>
  <si>
    <t>Lê Huỳnh Dũng </t>
  </si>
  <si>
    <t>2K025</t>
  </si>
  <si>
    <t>Đào Thanh Huy </t>
  </si>
  <si>
    <t>2T030</t>
  </si>
  <si>
    <t>Nguyễn Hoàng Kha </t>
  </si>
  <si>
    <t>2D026</t>
  </si>
  <si>
    <t>Nguyễn Huỳnh Minh Huy </t>
  </si>
  <si>
    <t>Tổng cộng</t>
  </si>
  <si>
    <t>Thanh</t>
  </si>
  <si>
    <t>Hà</t>
  </si>
  <si>
    <t>Sơn</t>
  </si>
  <si>
    <t>A</t>
  </si>
  <si>
    <t>B</t>
  </si>
  <si>
    <t>C</t>
  </si>
  <si>
    <t>D</t>
  </si>
  <si>
    <t>Ngày công chế độ</t>
  </si>
  <si>
    <t>MSNS</t>
  </si>
  <si>
    <t>TÊN NS</t>
  </si>
  <si>
    <t>Ngày nhận việc</t>
  </si>
  <si>
    <t>Chức vụ</t>
  </si>
  <si>
    <t>Đơn vị</t>
  </si>
  <si>
    <t>LGCB</t>
  </si>
  <si>
    <t>Ngày công</t>
  </si>
  <si>
    <t>PCCV</t>
  </si>
  <si>
    <t>Phụ cấp thâm niên</t>
  </si>
  <si>
    <t>Thực lãnh</t>
  </si>
  <si>
    <t>01A-GD</t>
  </si>
  <si>
    <t>02E-HC</t>
  </si>
  <si>
    <t>03E-KT</t>
  </si>
  <si>
    <t>04B-GD</t>
  </si>
  <si>
    <t>05C-HC</t>
  </si>
  <si>
    <t>06C-KT</t>
  </si>
  <si>
    <t>07E-CH</t>
  </si>
  <si>
    <t>08E-CH</t>
  </si>
  <si>
    <t>09D-CH</t>
  </si>
  <si>
    <t>10E-CH</t>
  </si>
  <si>
    <t>11E-KT</t>
  </si>
  <si>
    <t>12E-HC</t>
  </si>
  <si>
    <t>14E-HC</t>
  </si>
  <si>
    <t>13E-CH</t>
  </si>
  <si>
    <t>Nam</t>
  </si>
  <si>
    <t>Quốc</t>
  </si>
  <si>
    <t>Đế</t>
  </si>
  <si>
    <t>Cư</t>
  </si>
  <si>
    <t>Tuyệt</t>
  </si>
  <si>
    <t>Nhiên</t>
  </si>
  <si>
    <t>Định</t>
  </si>
  <si>
    <t>Phận</t>
  </si>
  <si>
    <t>Tại</t>
  </si>
  <si>
    <t>Thiên</t>
  </si>
  <si>
    <t>Thư</t>
  </si>
  <si>
    <t>CỘNG</t>
  </si>
  <si>
    <t>BẢNG ĐƠN VỊ</t>
  </si>
  <si>
    <t>GD</t>
  </si>
  <si>
    <t>HC</t>
  </si>
  <si>
    <t>KT</t>
  </si>
  <si>
    <t>CH</t>
  </si>
  <si>
    <t>Ban GĐ</t>
  </si>
  <si>
    <t>P. H chánh</t>
  </si>
  <si>
    <t>P.Ktoán</t>
  </si>
  <si>
    <t>Cửa hàng</t>
  </si>
  <si>
    <t>Tổng thực lãnh của Ban Giám đốc</t>
  </si>
  <si>
    <t>Tổng thực lãnh của P. Hành chánh</t>
  </si>
  <si>
    <t>Tổng thực lãnh của P. kế toán</t>
  </si>
  <si>
    <t>Tổng thực lãnh của Cửa hàng</t>
  </si>
  <si>
    <t>Bảng Chức vụ, PCCV và Hệ số lương</t>
  </si>
  <si>
    <t>Hệ số</t>
  </si>
  <si>
    <t>E</t>
  </si>
  <si>
    <t>G. đốc</t>
  </si>
  <si>
    <t>Phó G. đốc</t>
  </si>
  <si>
    <t>Trưởng Pg</t>
  </si>
  <si>
    <t>CH Trưởng</t>
  </si>
  <si>
    <t>N. viên</t>
  </si>
  <si>
    <t>Phụ cấp Thâm niên</t>
  </si>
  <si>
    <t>G.thích</t>
  </si>
  <si>
    <t>Năm TN&lt;3</t>
  </si>
  <si>
    <t>3&lt;=NămTN&lt;5</t>
  </si>
  <si>
    <t>5&lt;=NămTN&lt;7</t>
  </si>
  <si>
    <t>7&lt;=NămTN&lt;10</t>
  </si>
  <si>
    <t>10&lt;=NămTN&lt;=15</t>
  </si>
  <si>
    <t>15&lt;=NămTN</t>
  </si>
  <si>
    <t>Năm TN</t>
  </si>
  <si>
    <t>Phụ cấp</t>
  </si>
  <si>
    <t>STT</t>
  </si>
  <si>
    <t>HỌ</t>
  </si>
  <si>
    <t>TÊN</t>
  </si>
  <si>
    <t>Mã  số</t>
  </si>
  <si>
    <t>Ngày đến</t>
  </si>
  <si>
    <t>Ngày đi</t>
  </si>
  <si>
    <t>Tiền ăn</t>
  </si>
  <si>
    <t>Tuần</t>
  </si>
  <si>
    <t>ĐCT</t>
  </si>
  <si>
    <t>Ngày</t>
  </si>
  <si>
    <t>ĐGN</t>
  </si>
  <si>
    <t>Trần Ngọc</t>
  </si>
  <si>
    <t>Nguyễn Thùy</t>
  </si>
  <si>
    <t>Nguyễn An</t>
  </si>
  <si>
    <t>Huỳnh Bảo</t>
  </si>
  <si>
    <t>Trần Đình</t>
  </si>
  <si>
    <t>Phan Phước</t>
  </si>
  <si>
    <t>Hà Hảo</t>
  </si>
  <si>
    <t>Phạm Thành</t>
  </si>
  <si>
    <t>Lê Quốc</t>
  </si>
  <si>
    <t>Bùi Thế</t>
  </si>
  <si>
    <t>Dương</t>
  </si>
  <si>
    <t>Khương</t>
  </si>
  <si>
    <t>Trầm</t>
  </si>
  <si>
    <t>Khôi</t>
  </si>
  <si>
    <t>Thơ</t>
  </si>
  <si>
    <t>Tâm</t>
  </si>
  <si>
    <t>Sinh</t>
  </si>
  <si>
    <t>Duy</t>
  </si>
  <si>
    <t>L3A-F0</t>
  </si>
  <si>
    <t>L2A-F4</t>
  </si>
  <si>
    <t>L1A-F4</t>
  </si>
  <si>
    <t>L2A-F1</t>
  </si>
  <si>
    <t>L1B-F4</t>
  </si>
  <si>
    <t>L2B-F2</t>
  </si>
  <si>
    <t>L1A-F0</t>
  </si>
  <si>
    <t>L3B-F0</t>
  </si>
  <si>
    <t>L3B-F1</t>
  </si>
  <si>
    <t>L1B-F3</t>
  </si>
  <si>
    <t>BIỂU GIÁ PHÒNG</t>
  </si>
  <si>
    <t>Loại phòng</t>
  </si>
  <si>
    <t>ĐGT</t>
  </si>
  <si>
    <t>L1A</t>
  </si>
  <si>
    <t>L1B</t>
  </si>
  <si>
    <t>L2A</t>
  </si>
  <si>
    <t>L2B</t>
  </si>
  <si>
    <t>L3A</t>
  </si>
  <si>
    <t>L3B</t>
  </si>
  <si>
    <t>BIỂU GIÁ KHẨU PHẦN ĂN MỘT NGÀU</t>
  </si>
  <si>
    <t>F0</t>
  </si>
  <si>
    <t>F1</t>
  </si>
  <si>
    <t>F2</t>
  </si>
  <si>
    <t>F3</t>
  </si>
  <si>
    <t>F4</t>
  </si>
  <si>
    <t>BÁO CÁO TÌNH HÌNH KINH DOANH QUÝ 1, 2 NĂM 2020</t>
  </si>
  <si>
    <t>Bảng Đơn Giá</t>
  </si>
  <si>
    <t>Mã hàng</t>
  </si>
  <si>
    <t>Tên hàng</t>
  </si>
  <si>
    <t>Đơn giá</t>
  </si>
  <si>
    <t>Ngày bán</t>
  </si>
  <si>
    <t>Thành Tiền</t>
  </si>
  <si>
    <t>MNN</t>
  </si>
  <si>
    <t>KTD</t>
  </si>
  <si>
    <t>MLK</t>
  </si>
  <si>
    <t>MTA</t>
  </si>
  <si>
    <t>1KTD10</t>
  </si>
  <si>
    <t>Đơn giá kho</t>
  </si>
  <si>
    <t>1KTD15</t>
  </si>
  <si>
    <t>Máy Nước Nóng</t>
  </si>
  <si>
    <t>Kim Tự Điển</t>
  </si>
  <si>
    <t>Máy Lọc Khí</t>
  </si>
  <si>
    <t>Máy Thu Âm</t>
  </si>
  <si>
    <t>2MLK6</t>
  </si>
  <si>
    <t>1MNN10</t>
  </si>
  <si>
    <t>2KTD5</t>
  </si>
  <si>
    <t>Tính Tổng số lượng Máy Lọc Khí hoặc Máy Thu Âm</t>
  </si>
  <si>
    <t>???</t>
  </si>
  <si>
    <t>1MTA8</t>
  </si>
  <si>
    <t>1MLK20</t>
  </si>
  <si>
    <t>2MTA6</t>
  </si>
  <si>
    <t>1MLK120</t>
  </si>
  <si>
    <t>2MNN8</t>
  </si>
  <si>
    <t>2KTD16</t>
  </si>
  <si>
    <t>1MTA150</t>
  </si>
  <si>
    <t>1MLK30</t>
  </si>
  <si>
    <t>2KTD25</t>
  </si>
  <si>
    <t>2MNN30</t>
  </si>
  <si>
    <t>2KTD15</t>
  </si>
  <si>
    <t>1KTD18</t>
  </si>
  <si>
    <t>2MTA12</t>
  </si>
  <si>
    <t>1MNN20</t>
  </si>
  <si>
    <t>Tỷ giá USD</t>
  </si>
  <si>
    <t>BẢNG CHI PHÍ VẬN CHUYỂN</t>
  </si>
  <si>
    <t>CHỦ
HÀNG</t>
  </si>
  <si>
    <t>LOẠI
HÀNG</t>
  </si>
  <si>
    <t>ĐỊNH
MỨC</t>
  </si>
  <si>
    <t>TRỌNG
LƯỢNG</t>
  </si>
  <si>
    <t>GIÁ
CƯỚC</t>
  </si>
  <si>
    <t>TIỀN
PHẠT</t>
  </si>
  <si>
    <t>THÀNH
TIỀN (VND)</t>
  </si>
  <si>
    <t>Cty E</t>
  </si>
  <si>
    <t>DNTN D</t>
  </si>
  <si>
    <t>Cty G</t>
  </si>
  <si>
    <t>Tổ hợp C</t>
  </si>
  <si>
    <t>Cty A</t>
  </si>
  <si>
    <t>XN B</t>
  </si>
  <si>
    <t>XN F</t>
  </si>
  <si>
    <t>BẢNG ĐỊNH MỨC VÀ GIÁ CƯỚC</t>
  </si>
  <si>
    <t xml:space="preserve">BẢNG THỐNG KÊ </t>
  </si>
  <si>
    <t xml:space="preserve">LOẠI PHÒNG </t>
  </si>
  <si>
    <t xml:space="preserve">SỐ LƯỢNG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</si>
</sst>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Times New Roman"/>
      <family val="1"/>
      <charset val="163"/>
    </font>
    <font>
      <b/>
      <sz val="20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0"/>
      <color indexed="8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  <charset val="163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4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E9E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82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7" fillId="0" borderId="1" xfId="2" applyBorder="1" applyAlignment="1">
      <alignment horizontal="left" wrapText="1"/>
    </xf>
    <xf numFmtId="0" fontId="8" fillId="0" borderId="1" xfId="0" applyFont="1" applyBorder="1" applyAlignment="1">
      <alignment horizontal="right" vertical="center" wrapText="1"/>
    </xf>
    <xf numFmtId="2" fontId="2" fillId="2" borderId="1" xfId="0" applyNumberFormat="1" applyFont="1" applyFill="1" applyBorder="1"/>
    <xf numFmtId="0" fontId="9" fillId="0" borderId="1" xfId="0" applyFont="1" applyBorder="1" applyAlignment="1">
      <alignment horizontal="center"/>
    </xf>
    <xf numFmtId="0" fontId="10" fillId="0" borderId="1" xfId="0" applyFont="1" applyBorder="1"/>
    <xf numFmtId="0" fontId="8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justify" vertical="center" wrapText="1"/>
    </xf>
    <xf numFmtId="0" fontId="0" fillId="0" borderId="1" xfId="0" applyBorder="1"/>
    <xf numFmtId="2" fontId="0" fillId="0" borderId="1" xfId="0" applyNumberFormat="1" applyBorder="1"/>
    <xf numFmtId="2" fontId="8" fillId="0" borderId="1" xfId="0" applyNumberFormat="1" applyFont="1" applyBorder="1" applyAlignment="1">
      <alignment horizontal="justify" vertical="center" wrapText="1"/>
    </xf>
    <xf numFmtId="14" fontId="0" fillId="0" borderId="1" xfId="0" applyNumberFormat="1" applyBorder="1"/>
    <xf numFmtId="3" fontId="0" fillId="0" borderId="1" xfId="0" applyNumberFormat="1" applyBorder="1"/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3" fontId="0" fillId="6" borderId="1" xfId="0" applyNumberFormat="1" applyFill="1" applyBorder="1"/>
    <xf numFmtId="0" fontId="0" fillId="7" borderId="1" xfId="0" applyFill="1" applyBorder="1"/>
    <xf numFmtId="3" fontId="0" fillId="7" borderId="1" xfId="0" applyNumberFormat="1" applyFill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/>
    <xf numFmtId="3" fontId="0" fillId="8" borderId="1" xfId="0" applyNumberFormat="1" applyFill="1" applyBorder="1"/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/>
    </xf>
    <xf numFmtId="0" fontId="10" fillId="0" borderId="0" xfId="0" applyFont="1"/>
    <xf numFmtId="0" fontId="13" fillId="0" borderId="0" xfId="0" applyFont="1"/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/>
    <xf numFmtId="14" fontId="13" fillId="0" borderId="0" xfId="0" applyNumberFormat="1" applyFont="1"/>
    <xf numFmtId="164" fontId="10" fillId="0" borderId="1" xfId="1" applyNumberFormat="1" applyFont="1" applyFill="1" applyBorder="1"/>
    <xf numFmtId="164" fontId="10" fillId="0" borderId="1" xfId="1" applyNumberFormat="1" applyFont="1" applyBorder="1"/>
    <xf numFmtId="0" fontId="10" fillId="0" borderId="1" xfId="0" applyFont="1" applyBorder="1" applyAlignment="1">
      <alignment horizontal="center"/>
    </xf>
    <xf numFmtId="0" fontId="6" fillId="0" borderId="0" xfId="0" applyFont="1"/>
    <xf numFmtId="0" fontId="6" fillId="9" borderId="1" xfId="0" applyFont="1" applyFill="1" applyBorder="1" applyAlignment="1">
      <alignment horizontal="center"/>
    </xf>
    <xf numFmtId="0" fontId="15" fillId="10" borderId="0" xfId="0" applyFont="1" applyFill="1" applyAlignment="1">
      <alignment vertical="center"/>
    </xf>
    <xf numFmtId="0" fontId="16" fillId="0" borderId="0" xfId="0" applyFont="1"/>
    <xf numFmtId="0" fontId="6" fillId="7" borderId="1" xfId="0" applyFont="1" applyFill="1" applyBorder="1" applyAlignment="1">
      <alignment horizontal="center" vertical="center" wrapText="1"/>
    </xf>
    <xf numFmtId="164" fontId="10" fillId="0" borderId="1" xfId="1" applyNumberFormat="1" applyFont="1" applyBorder="1" applyAlignment="1"/>
    <xf numFmtId="164" fontId="10" fillId="0" borderId="1" xfId="1" applyNumberFormat="1" applyFont="1" applyBorder="1" applyAlignment="1">
      <alignment horizontal="left"/>
    </xf>
    <xf numFmtId="164" fontId="10" fillId="0" borderId="1" xfId="1" applyNumberFormat="1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164" fontId="10" fillId="0" borderId="1" xfId="1" applyNumberFormat="1" applyFont="1" applyBorder="1" applyAlignment="1">
      <alignment vertical="center"/>
    </xf>
    <xf numFmtId="164" fontId="10" fillId="0" borderId="1" xfId="1" applyNumberFormat="1" applyFont="1" applyBorder="1" applyAlignment="1">
      <alignment horizontal="left" vertical="center"/>
    </xf>
    <xf numFmtId="0" fontId="10" fillId="0" borderId="1" xfId="1" applyNumberFormat="1" applyFont="1" applyBorder="1" applyAlignment="1">
      <alignment horizontal="right" vertical="center"/>
    </xf>
    <xf numFmtId="0" fontId="6" fillId="0" borderId="0" xfId="0" applyFont="1" applyAlignment="1">
      <alignment horizontal="center"/>
    </xf>
    <xf numFmtId="0" fontId="6" fillId="11" borderId="1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left"/>
    </xf>
    <xf numFmtId="0" fontId="0" fillId="7" borderId="2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/>
    <xf numFmtId="0" fontId="0" fillId="8" borderId="0" xfId="0" applyFill="1" applyBorder="1"/>
  </cellXfs>
  <cellStyles count="3">
    <cellStyle name="Comma" xfId="1" builtinId="3"/>
    <cellStyle name="Normal" xfId="0" builtinId="0"/>
    <cellStyle name="Normal_C4P15" xfId="2" xr:uid="{AAD06307-F590-416B-AFAB-BD0BEE6777D2}"/>
  </cellStyles>
  <dxfs count="0"/>
  <tableStyles count="0" defaultTableStyle="TableStyleMedium2" defaultPivotStyle="PivotStyleLight16"/>
  <colors>
    <mruColors>
      <color rgb="FFFCE9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525371828521429E-2"/>
          <c:y val="0.10413203557888598"/>
          <c:w val="0.8964746281714786"/>
          <c:h val="0.725841353164187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'BAI 4'!$C$28</c:f>
              <c:strCache>
                <c:ptCount val="1"/>
                <c:pt idx="0">
                  <c:v>SỐ LƯỢNG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'BAI 4'!$B$29:$B$34</c:f>
              <c:strCache>
                <c:ptCount val="6"/>
                <c:pt idx="0">
                  <c:v>L1A</c:v>
                </c:pt>
                <c:pt idx="1">
                  <c:v>L1B</c:v>
                </c:pt>
                <c:pt idx="2">
                  <c:v>L2A</c:v>
                </c:pt>
                <c:pt idx="3">
                  <c:v>L2B</c:v>
                </c:pt>
                <c:pt idx="4">
                  <c:v>L3A</c:v>
                </c:pt>
                <c:pt idx="5">
                  <c:v>L3B</c:v>
                </c:pt>
              </c:strCache>
            </c:strRef>
          </c:cat>
          <c:val>
            <c:numRef>
              <c:f>'BAI 4'!$C$29:$C$34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D-45D2-8B0E-802AE6B7E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9636479"/>
        <c:axId val="1239635519"/>
      </c:barChart>
      <c:catAx>
        <c:axId val="123963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635519"/>
        <c:crosses val="autoZero"/>
        <c:auto val="1"/>
        <c:lblAlgn val="ctr"/>
        <c:lblOffset val="100"/>
        <c:noMultiLvlLbl val="0"/>
      </c:catAx>
      <c:valAx>
        <c:axId val="123963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63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5</xdr:row>
      <xdr:rowOff>44450</xdr:rowOff>
    </xdr:from>
    <xdr:to>
      <xdr:col>15</xdr:col>
      <xdr:colOff>546100</xdr:colOff>
      <xdr:row>18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C0E208-F782-9BE9-AE47-346308925444}"/>
            </a:ext>
          </a:extLst>
        </xdr:cNvPr>
        <xdr:cNvSpPr txBox="1"/>
      </xdr:nvSpPr>
      <xdr:spPr>
        <a:xfrm>
          <a:off x="6794500" y="1625600"/>
          <a:ext cx="4705350" cy="27495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400" b="1" u="sng">
              <a:latin typeface="+mj-lt"/>
            </a:rPr>
            <a:t>YÊU CẦU CỦA BÀI TẬP</a:t>
          </a:r>
        </a:p>
        <a:p>
          <a:r>
            <a:rPr lang="vi-VN" sz="1400">
              <a:latin typeface="+mj-lt"/>
            </a:rPr>
            <a:t>1) - Nhập và định dạng dữ liệu như bảng tính</a:t>
          </a:r>
        </a:p>
        <a:p>
          <a:r>
            <a:rPr lang="vi-VN" sz="1400">
              <a:latin typeface="+mj-lt"/>
            </a:rPr>
            <a:t>2) - Tính ĐỊNH MỨC và GIÁ CƯỚC dựa vào LOẠI HÀNG.</a:t>
          </a:r>
        </a:p>
        <a:p>
          <a:r>
            <a:rPr lang="vi-VN" sz="1400">
              <a:latin typeface="+mj-lt"/>
            </a:rPr>
            <a:t>3) - Tính TIỀN PHẠT như sau: Nếu TRỌNG LƯỢNG &gt; ĐỊNH MỨC thì:</a:t>
          </a:r>
        </a:p>
        <a:p>
          <a:r>
            <a:rPr lang="vi-VN" sz="1400">
              <a:latin typeface="+mj-lt"/>
            </a:rPr>
            <a:t>TIỀN PHẠT = (TRỌNG LƯỢNG - ĐỊNH MỨC) * 20% * GIÁ CƯỚC</a:t>
          </a:r>
        </a:p>
        <a:p>
          <a:r>
            <a:rPr lang="vi-VN" sz="1400">
              <a:latin typeface="+mj-lt"/>
            </a:rPr>
            <a:t>Ngược lại: TIỀN PHẠT = 0.</a:t>
          </a:r>
        </a:p>
        <a:p>
          <a:r>
            <a:rPr lang="vi-VN" sz="1400">
              <a:latin typeface="+mj-lt"/>
            </a:rPr>
            <a:t>4) - Tính THÀNH TIỀN như sau:</a:t>
          </a:r>
        </a:p>
        <a:p>
          <a:r>
            <a:rPr lang="vi-VN" sz="1400">
              <a:latin typeface="+mj-lt"/>
            </a:rPr>
            <a:t>THÀNH TIỀN = (GIÁ CƯỚC + TIỀN PHẠT) * Tỷ giá USD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525463</xdr:colOff>
      <xdr:row>17</xdr:row>
      <xdr:rowOff>153988</xdr:rowOff>
    </xdr:from>
    <xdr:to>
      <xdr:col>16</xdr:col>
      <xdr:colOff>368301</xdr:colOff>
      <xdr:row>30</xdr:row>
      <xdr:rowOff>12701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82FCA49-43FA-45E6-BB64-3E2A5336EDA9}"/>
            </a:ext>
          </a:extLst>
        </xdr:cNvPr>
        <xdr:cNvSpPr txBox="1"/>
      </xdr:nvSpPr>
      <xdr:spPr>
        <a:xfrm>
          <a:off x="9796463" y="3829051"/>
          <a:ext cx="6875463" cy="2438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Câu</a:t>
          </a:r>
          <a:r>
            <a:rPr lang="en-US" sz="1100" baseline="0"/>
            <a:t> hỏi:</a:t>
          </a:r>
        </a:p>
        <a:p>
          <a:r>
            <a:rPr lang="en-US" sz="1400" baseline="0"/>
            <a:t>1- Tính Điểm trung bình: Các môn Windows, Word, Powerpoint hệ số 1, Excel hệ số 2</a:t>
          </a:r>
        </a:p>
        <a:p>
          <a:r>
            <a:rPr lang="en-US" sz="1400" baseline="0"/>
            <a:t>2-  Tính Điểm chuyên cần: dựa vào ký tự đầu tiên và Bảng Điểm Chuyên cần</a:t>
          </a:r>
        </a:p>
        <a:p>
          <a:r>
            <a:rPr lang="en-US" sz="1400" baseline="0"/>
            <a:t>3- Tính Tổng điểm: Điểm Trung bình + Điểm chuyên cần, Tổng điểm không vượt quá 10</a:t>
          </a:r>
        </a:p>
        <a:p>
          <a:r>
            <a:rPr lang="en-US" sz="1400" baseline="0"/>
            <a:t>4- Tính Điểm làm tròn: Phân nguyên của tổng điểm + phần thập phân đã làm tròn (Lấy phần thập phân của tổng điểm và dò tìm ytrong bảng Điểm làm tròn)</a:t>
          </a:r>
        </a:p>
        <a:p>
          <a:r>
            <a:rPr lang="en-US" sz="1400" baseline="0"/>
            <a:t>5 - Tính Kết quả: Nếu điểm làm tròn Từ 5 trở lên và Điểm Excel lớn hơn bằng 5, các điểm Windows, Word, Powerpoint phải lớn hơn hoặc bằng 4 thì kết quả là Đậu, ngược lại là Rớt.</a:t>
          </a:r>
        </a:p>
        <a:p>
          <a:r>
            <a:rPr lang="en-US" sz="1400" baseline="0"/>
            <a:t>6. Tính bảng thống kê, vẽ biểu đồ thống kê số lượng thí sinh đậu và rớt. (biểu đồ tròn)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</xdr:colOff>
      <xdr:row>8</xdr:row>
      <xdr:rowOff>146050</xdr:rowOff>
    </xdr:from>
    <xdr:to>
      <xdr:col>18</xdr:col>
      <xdr:colOff>539750</xdr:colOff>
      <xdr:row>24</xdr:row>
      <xdr:rowOff>158750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6C6D279-4AF9-D530-A17A-41177FFE830E}"/>
            </a:ext>
          </a:extLst>
        </xdr:cNvPr>
        <xdr:cNvSpPr txBox="1"/>
      </xdr:nvSpPr>
      <xdr:spPr>
        <a:xfrm>
          <a:off x="7556500" y="1987550"/>
          <a:ext cx="5410200" cy="29591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400" b="0" i="1">
              <a:latin typeface="+mj-lt"/>
            </a:rPr>
            <a:t>Ý nghĩa MSNS (từ trái sang phải): 2 ký tự đầu: STT, ký tự thứ 3: MS chức vụ, 2 ký tự cuối: MS đơn vị </a:t>
          </a:r>
          <a:endParaRPr lang="en-US" sz="1400" b="0" i="1">
            <a:latin typeface="+mj-lt"/>
          </a:endParaRPr>
        </a:p>
        <a:p>
          <a:r>
            <a:rPr lang="vi-VN" sz="1400" b="1" u="sng">
              <a:latin typeface="+mj-lt"/>
            </a:rPr>
            <a:t>Yêu cầu: </a:t>
          </a:r>
          <a:endParaRPr lang="en-US" sz="1400" b="1" u="sng">
            <a:latin typeface="+mj-lt"/>
          </a:endParaRPr>
        </a:p>
        <a:p>
          <a:r>
            <a:rPr lang="vi-VN" sz="1400">
              <a:latin typeface="+mj-lt"/>
            </a:rPr>
            <a:t>1. Dùng hàm Hlookup() hay Vlookup() để tính nội dung cho cột chức vụ và đơn vị </a:t>
          </a:r>
          <a:endParaRPr lang="en-US" sz="1400">
            <a:latin typeface="+mj-lt"/>
          </a:endParaRPr>
        </a:p>
        <a:p>
          <a:r>
            <a:rPr lang="vi-VN" sz="1400">
              <a:latin typeface="+mj-lt"/>
            </a:rPr>
            <a:t>2. Tính cột PCCV </a:t>
          </a:r>
          <a:endParaRPr lang="en-US" sz="1400">
            <a:latin typeface="+mj-lt"/>
          </a:endParaRPr>
        </a:p>
        <a:p>
          <a:r>
            <a:rPr lang="vi-VN" sz="1400">
              <a:latin typeface="+mj-lt"/>
            </a:rPr>
            <a:t>3. Tính cột PC thâm niên, biết rằng công thức tính thâm niên như sau: Năm thâm niên = (Ngày lập bảng – ngày nhận việc)/365 </a:t>
          </a:r>
          <a:endParaRPr lang="en-US" sz="1400">
            <a:latin typeface="+mj-lt"/>
          </a:endParaRPr>
        </a:p>
        <a:p>
          <a:r>
            <a:rPr lang="vi-VN" sz="1400">
              <a:latin typeface="+mj-lt"/>
            </a:rPr>
            <a:t>4. Tính cột Thực lãnh, biết rằng: Thực lãnh = Lương chính + PCCV + PCTN Trong đó: Lương chính = Lương CB * Hệ số * Ngày công/Ngày công chế độ. </a:t>
          </a:r>
          <a:endParaRPr lang="en-US" sz="1400">
            <a:latin typeface="+mj-lt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825500</xdr:colOff>
      <xdr:row>0</xdr:row>
      <xdr:rowOff>146050</xdr:rowOff>
    </xdr:from>
    <xdr:to>
      <xdr:col>8</xdr:col>
      <xdr:colOff>488950</xdr:colOff>
      <xdr:row>4</xdr:row>
      <xdr:rowOff>114300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F05DB22-915A-1365-322C-50736A5EED01}"/>
            </a:ext>
          </a:extLst>
        </xdr:cNvPr>
        <xdr:cNvSpPr/>
      </xdr:nvSpPr>
      <xdr:spPr>
        <a:xfrm>
          <a:off x="1435100" y="146050"/>
          <a:ext cx="4946650" cy="7048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/>
          </a:solidFill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Nhà</a:t>
          </a:r>
          <a:r>
            <a:rPr lang="en-US" sz="1600" b="1" baseline="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hàng - Khách sạn HOÀNG GIA.</a:t>
          </a:r>
        </a:p>
        <a:p>
          <a:pPr algn="ctr"/>
          <a:r>
            <a:rPr lang="en-US" sz="1600" b="1" baseline="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BẢNG KÊ CHI PHÍ THUÊ PHÒNG</a:t>
          </a:r>
          <a:endParaRPr lang="en-US" sz="1600" b="1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139700</xdr:colOff>
      <xdr:row>21</xdr:row>
      <xdr:rowOff>0</xdr:rowOff>
    </xdr:from>
    <xdr:to>
      <xdr:col>13</xdr:col>
      <xdr:colOff>444500</xdr:colOff>
      <xdr:row>44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361670-5896-8516-3F26-EA7DC3A323D7}"/>
            </a:ext>
          </a:extLst>
        </xdr:cNvPr>
        <xdr:cNvSpPr txBox="1"/>
      </xdr:nvSpPr>
      <xdr:spPr>
        <a:xfrm>
          <a:off x="4019550" y="3867150"/>
          <a:ext cx="5365750" cy="4349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400" b="1" u="sng">
              <a:latin typeface="Times New Roman" panose="02020603050405020304" pitchFamily="18" charset="0"/>
              <a:cs typeface="Times New Roman" panose="02020603050405020304" pitchFamily="18" charset="0"/>
            </a:rPr>
            <a:t>Yêu cầu: </a:t>
          </a:r>
          <a:endParaRPr lang="en-US" sz="1400" b="1" u="sng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1.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Lập công thức tính số liệu cho các cột: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Tiền ăn. Biết rằng Tiền ăn = (số ngày ở) * đơn giá khẩu phần ăn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(đơn giá khẩu phần ăn được dò tìm và lấy ra ở bảng biểu giá khẩu phần ăn một ngày dựa vào 2 ký tự cuối của mã số)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Tuần và ĐGT. (ĐGT là đơn giá mướn phòng 1 tuần)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Ngày và ĐGN (ĐGN là đơn giá mướn phòng 1 ngày, ngày là số ngày lẻ)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(ĐGT và ĐGN được dò tìm và lấy ra từ Biểu giá phòng dựa vào 3 ký tự đầu của mã số)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Tổng cộng. Biết rằng Tổng cộng = tiền ăn + tiền thuê phòng tính theo tuần + số nhỏ hơn giữa tiền thuê phòng cho các ngày lẻ và tiền thuê phòng trọn tuần.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2.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Làm lại cột tiền ăn theo yêu cầu sau: Tiền ăn = số ngày ở * đơn giá khẩu phần, nếu khách ở trên 1 tuần thì số ngày&gt;7 đó sẽ giảm giá tiền ăn 15%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3.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Lập bảng thống kê cho số lượng từng loại phòng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4.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Dựa vào bảng thống kê vẽ đồ thị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0</xdr:colOff>
      <xdr:row>6</xdr:row>
      <xdr:rowOff>14287</xdr:rowOff>
    </xdr:from>
    <xdr:to>
      <xdr:col>20</xdr:col>
      <xdr:colOff>304800</xdr:colOff>
      <xdr:row>20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C4A4C2-4248-7302-7972-7E68F49E5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635288</xdr:colOff>
      <xdr:row>10</xdr:row>
      <xdr:rowOff>87746</xdr:rowOff>
    </xdr:from>
    <xdr:to>
      <xdr:col>13</xdr:col>
      <xdr:colOff>526183</xdr:colOff>
      <xdr:row>21</xdr:row>
      <xdr:rowOff>11546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9F93CF-1D91-4D4F-9F3C-DD9EADFD4CD3}"/>
            </a:ext>
          </a:extLst>
        </xdr:cNvPr>
        <xdr:cNvSpPr txBox="1"/>
      </xdr:nvSpPr>
      <xdr:spPr>
        <a:xfrm>
          <a:off x="6350288" y="2073564"/>
          <a:ext cx="7049077" cy="2082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Câu</a:t>
          </a:r>
          <a:r>
            <a:rPr lang="en-US" sz="1100" baseline="0"/>
            <a:t> hỏi:</a:t>
          </a:r>
        </a:p>
        <a:p>
          <a:r>
            <a:rPr lang="en-US" sz="1400" baseline="0"/>
            <a:t>1- Điền Tên hàng dựa vào 3 ký tự 2,3,4 và bảng Đơn giá</a:t>
          </a:r>
        </a:p>
        <a:p>
          <a:r>
            <a:rPr lang="en-US" sz="1400" baseline="0"/>
            <a:t>2-  Tính Đơn giá 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dựa vào 3 ký tự 2,3,4 và bảng Đơn giá Trong đó: Nếu ký tự đầu là 1 và ngày bán sau ngày 30/5/2020 hoặc bán trong tháng 3 thì tăng giá 15%, ngược lại tăng 5%</a:t>
          </a:r>
        </a:p>
        <a:p>
          <a:r>
            <a:rPr lang="en-US" sz="1400" baseline="0"/>
            <a:t>3- Tính Số lượng (dạng số) là các con số bên phải của mã hàng</a:t>
          </a:r>
        </a:p>
        <a:p>
          <a:r>
            <a:rPr lang="en-US" sz="1400" baseline="0"/>
            <a:t>4- Tính Thành tiền: Số lượng * Đơn giá, nếu Số lượng Lơn hơn 100 thì được giảm 2%</a:t>
          </a:r>
        </a:p>
        <a:p>
          <a:r>
            <a:rPr lang="en-US" sz="1400" baseline="0"/>
            <a:t>5 - Tính </a:t>
          </a:r>
          <a:r>
            <a:rPr lang="vi-VN" sz="1400" baseline="0"/>
            <a:t>Tính Tổng số lượng Máy Lọc Khí </a:t>
          </a:r>
          <a:r>
            <a:rPr lang="en-US" sz="1400" baseline="0"/>
            <a:t>và</a:t>
          </a:r>
          <a:r>
            <a:rPr lang="vi-VN" sz="1400" baseline="0"/>
            <a:t> Máy Thu Âm</a:t>
          </a:r>
          <a:endParaRPr 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4568-F98C-458E-B3BE-BBD9FB67D3FE}">
  <dimension ref="A2:H18"/>
  <sheetViews>
    <sheetView tabSelected="1" workbookViewId="0">
      <selection activeCell="M5" sqref="M5"/>
    </sheetView>
  </sheetViews>
  <sheetFormatPr defaultColWidth="8.7109375" defaultRowHeight="15" x14ac:dyDescent="0.25"/>
  <cols>
    <col min="1" max="1" width="8.7109375" style="31" customWidth="1"/>
    <col min="2" max="2" width="14.85546875" style="31" customWidth="1"/>
    <col min="3" max="3" width="8.7109375" style="31"/>
    <col min="4" max="4" width="9.7109375" style="31" customWidth="1"/>
    <col min="5" max="5" width="12.5703125" style="31" customWidth="1"/>
    <col min="6" max="6" width="13.85546875" style="31" customWidth="1"/>
    <col min="7" max="7" width="11.85546875" style="31" customWidth="1"/>
    <col min="8" max="8" width="16.140625" style="31" customWidth="1"/>
    <col min="9" max="16384" width="8.7109375" style="31"/>
  </cols>
  <sheetData>
    <row r="2" spans="1:8" x14ac:dyDescent="0.25">
      <c r="F2" s="53" t="s">
        <v>254</v>
      </c>
      <c r="G2" s="53"/>
      <c r="H2" s="40">
        <v>23000</v>
      </c>
    </row>
    <row r="3" spans="1:8" ht="18.75" x14ac:dyDescent="0.3">
      <c r="A3" s="41"/>
      <c r="B3" s="54" t="s">
        <v>255</v>
      </c>
      <c r="C3" s="54"/>
      <c r="D3" s="54"/>
      <c r="E3" s="54"/>
      <c r="F3" s="54"/>
      <c r="G3" s="54"/>
      <c r="H3" s="54"/>
    </row>
    <row r="4" spans="1:8" ht="31.5" x14ac:dyDescent="0.25">
      <c r="B4" s="42" t="s">
        <v>256</v>
      </c>
      <c r="C4" s="42" t="s">
        <v>257</v>
      </c>
      <c r="D4" s="42" t="s">
        <v>258</v>
      </c>
      <c r="E4" s="42" t="s">
        <v>259</v>
      </c>
      <c r="F4" s="42" t="s">
        <v>260</v>
      </c>
      <c r="G4" s="42" t="s">
        <v>261</v>
      </c>
      <c r="H4" s="42" t="s">
        <v>262</v>
      </c>
    </row>
    <row r="5" spans="1:8" ht="15.75" x14ac:dyDescent="0.25">
      <c r="B5" s="43" t="s">
        <v>263</v>
      </c>
      <c r="C5" s="44" t="s">
        <v>91</v>
      </c>
      <c r="D5" s="45">
        <f>VLOOKUP(C5,$B$15:$C$18,2,0)</f>
        <v>200</v>
      </c>
      <c r="E5" s="46">
        <v>1900</v>
      </c>
      <c r="F5" s="47">
        <f>VLOOKUP(C5,$B$15:$D$18,3,0)</f>
        <v>3</v>
      </c>
      <c r="G5" s="45">
        <f>IF(E5&gt;D5,(E5-D5)*20%*F5,0)</f>
        <v>1020</v>
      </c>
      <c r="H5" s="47">
        <f>(F5+G5)*$H$2</f>
        <v>23529000</v>
      </c>
    </row>
    <row r="6" spans="1:8" ht="15.75" x14ac:dyDescent="0.25">
      <c r="B6" s="43" t="s">
        <v>264</v>
      </c>
      <c r="C6" s="44" t="s">
        <v>92</v>
      </c>
      <c r="D6" s="45">
        <f t="shared" ref="D6:D11" si="0">VLOOKUP(C6,$B$15:$C$18,2,0)</f>
        <v>400</v>
      </c>
      <c r="E6" s="46">
        <v>1580</v>
      </c>
      <c r="F6" s="47">
        <f t="shared" ref="F6:F11" si="1">VLOOKUP(C6,$B$15:$D$18,3,0)</f>
        <v>2</v>
      </c>
      <c r="G6" s="45">
        <f t="shared" ref="G6:G11" si="2">IF(E6&gt;D6,(E6-D6)*20%*F6,0)</f>
        <v>472</v>
      </c>
      <c r="H6" s="47">
        <f t="shared" ref="H6:H11" si="3">(F6+G6)*$H$2</f>
        <v>10902000</v>
      </c>
    </row>
    <row r="7" spans="1:8" ht="15.75" x14ac:dyDescent="0.25">
      <c r="B7" s="43" t="s">
        <v>265</v>
      </c>
      <c r="C7" s="44" t="s">
        <v>91</v>
      </c>
      <c r="D7" s="45">
        <f t="shared" si="0"/>
        <v>200</v>
      </c>
      <c r="E7" s="46">
        <v>800</v>
      </c>
      <c r="F7" s="47">
        <f t="shared" si="1"/>
        <v>3</v>
      </c>
      <c r="G7" s="45">
        <f t="shared" si="2"/>
        <v>360</v>
      </c>
      <c r="H7" s="47">
        <f t="shared" si="3"/>
        <v>8349000</v>
      </c>
    </row>
    <row r="8" spans="1:8" ht="15.75" x14ac:dyDescent="0.25">
      <c r="B8" s="43" t="s">
        <v>266</v>
      </c>
      <c r="C8" s="44" t="s">
        <v>92</v>
      </c>
      <c r="D8" s="45">
        <f t="shared" si="0"/>
        <v>400</v>
      </c>
      <c r="E8" s="46">
        <v>1000</v>
      </c>
      <c r="F8" s="47">
        <f t="shared" si="1"/>
        <v>2</v>
      </c>
      <c r="G8" s="45">
        <f t="shared" si="2"/>
        <v>240</v>
      </c>
      <c r="H8" s="47">
        <f t="shared" si="3"/>
        <v>5566000</v>
      </c>
    </row>
    <row r="9" spans="1:8" ht="15.75" x14ac:dyDescent="0.25">
      <c r="B9" s="48" t="s">
        <v>267</v>
      </c>
      <c r="C9" s="49" t="s">
        <v>91</v>
      </c>
      <c r="D9" s="45">
        <f t="shared" si="0"/>
        <v>200</v>
      </c>
      <c r="E9" s="50">
        <v>500</v>
      </c>
      <c r="F9" s="47">
        <f t="shared" si="1"/>
        <v>3</v>
      </c>
      <c r="G9" s="45">
        <f t="shared" si="2"/>
        <v>180</v>
      </c>
      <c r="H9" s="47">
        <f t="shared" si="3"/>
        <v>4209000</v>
      </c>
    </row>
    <row r="10" spans="1:8" ht="15.75" x14ac:dyDescent="0.25">
      <c r="B10" s="7" t="s">
        <v>268</v>
      </c>
      <c r="C10" s="32" t="s">
        <v>93</v>
      </c>
      <c r="D10" s="45">
        <f t="shared" si="0"/>
        <v>600</v>
      </c>
      <c r="E10" s="46">
        <v>350</v>
      </c>
      <c r="F10" s="47">
        <f t="shared" si="1"/>
        <v>1</v>
      </c>
      <c r="G10" s="45">
        <f t="shared" si="2"/>
        <v>0</v>
      </c>
      <c r="H10" s="47">
        <f t="shared" si="3"/>
        <v>23000</v>
      </c>
    </row>
    <row r="11" spans="1:8" ht="15.75" x14ac:dyDescent="0.25">
      <c r="B11" s="7" t="s">
        <v>269</v>
      </c>
      <c r="C11" s="32" t="s">
        <v>93</v>
      </c>
      <c r="D11" s="45">
        <f t="shared" si="0"/>
        <v>600</v>
      </c>
      <c r="E11" s="46">
        <v>70</v>
      </c>
      <c r="F11" s="47">
        <f t="shared" si="1"/>
        <v>1</v>
      </c>
      <c r="G11" s="45">
        <f t="shared" si="2"/>
        <v>0</v>
      </c>
      <c r="H11" s="47">
        <f t="shared" si="3"/>
        <v>23000</v>
      </c>
    </row>
    <row r="12" spans="1:8" ht="15.75" x14ac:dyDescent="0.25">
      <c r="B12" s="51"/>
      <c r="C12" s="51"/>
      <c r="D12" s="51"/>
      <c r="E12" s="51"/>
      <c r="F12" s="30"/>
      <c r="G12" s="30"/>
      <c r="H12" s="47"/>
    </row>
    <row r="13" spans="1:8" ht="15.75" x14ac:dyDescent="0.25">
      <c r="B13" s="55" t="s">
        <v>270</v>
      </c>
      <c r="C13" s="55"/>
      <c r="D13" s="55"/>
      <c r="E13" s="30"/>
      <c r="F13" s="30"/>
      <c r="G13" s="30"/>
      <c r="H13" s="47"/>
    </row>
    <row r="14" spans="1:8" ht="31.5" x14ac:dyDescent="0.25">
      <c r="B14" s="52" t="s">
        <v>257</v>
      </c>
      <c r="C14" s="52" t="s">
        <v>258</v>
      </c>
      <c r="D14" s="52" t="s">
        <v>260</v>
      </c>
      <c r="E14" s="30"/>
      <c r="F14" s="30"/>
      <c r="G14" s="30"/>
    </row>
    <row r="15" spans="1:8" ht="15.75" x14ac:dyDescent="0.25">
      <c r="B15" s="7" t="s">
        <v>91</v>
      </c>
      <c r="C15" s="7">
        <v>200</v>
      </c>
      <c r="D15" s="7">
        <v>3</v>
      </c>
      <c r="E15" s="30"/>
      <c r="F15" s="30"/>
      <c r="G15" s="30"/>
    </row>
    <row r="16" spans="1:8" ht="15.75" x14ac:dyDescent="0.25">
      <c r="B16" s="7" t="s">
        <v>92</v>
      </c>
      <c r="C16" s="7">
        <v>400</v>
      </c>
      <c r="D16" s="7">
        <v>2</v>
      </c>
      <c r="E16" s="30"/>
      <c r="F16" s="30"/>
      <c r="G16" s="30"/>
    </row>
    <row r="17" spans="2:4" ht="15.75" x14ac:dyDescent="0.25">
      <c r="B17" s="7" t="s">
        <v>93</v>
      </c>
      <c r="C17" s="7">
        <v>600</v>
      </c>
      <c r="D17" s="7">
        <v>1</v>
      </c>
    </row>
    <row r="18" spans="2:4" ht="15.75" x14ac:dyDescent="0.25">
      <c r="B18" s="7" t="s">
        <v>94</v>
      </c>
      <c r="C18" s="7">
        <v>800</v>
      </c>
      <c r="D18" s="7">
        <v>0.5</v>
      </c>
    </row>
  </sheetData>
  <mergeCells count="3">
    <mergeCell ref="F2:G2"/>
    <mergeCell ref="B3:H3"/>
    <mergeCell ref="B13:D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77BB-6897-48D8-91B0-26BD77A1E48C}">
  <dimension ref="A1:O32"/>
  <sheetViews>
    <sheetView topLeftCell="A13" zoomScale="80" zoomScaleNormal="80" workbookViewId="0">
      <selection activeCell="N12" sqref="N12"/>
    </sheetView>
  </sheetViews>
  <sheetFormatPr defaultRowHeight="15" x14ac:dyDescent="0.25"/>
  <cols>
    <col min="1" max="1" width="9.140625" customWidth="1"/>
    <col min="2" max="2" width="20.7109375" bestFit="1" customWidth="1"/>
    <col min="3" max="3" width="10.28515625" bestFit="1" customWidth="1"/>
    <col min="4" max="4" width="6.7109375" bestFit="1" customWidth="1"/>
    <col min="5" max="5" width="6.28515625" bestFit="1" customWidth="1"/>
    <col min="6" max="6" width="12.42578125" bestFit="1" customWidth="1"/>
    <col min="7" max="7" width="17.7109375" bestFit="1" customWidth="1"/>
    <col min="8" max="8" width="12.42578125" customWidth="1"/>
    <col min="9" max="9" width="11.42578125" bestFit="1" customWidth="1"/>
    <col min="10" max="10" width="15.7109375" bestFit="1" customWidth="1"/>
    <col min="11" max="11" width="10.140625" bestFit="1" customWidth="1"/>
    <col min="13" max="13" width="33.7109375" bestFit="1" customWidth="1"/>
    <col min="14" max="14" width="21.42578125" bestFit="1" customWidth="1"/>
    <col min="15" max="15" width="28.140625" bestFit="1" customWidth="1"/>
  </cols>
  <sheetData>
    <row r="1" spans="1:15" ht="25.5" x14ac:dyDescent="0.25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M1" s="57" t="s">
        <v>1</v>
      </c>
      <c r="N1" s="57"/>
    </row>
    <row r="2" spans="1:15" ht="31.5" x14ac:dyDescent="0.25">
      <c r="A2" s="25" t="s">
        <v>2</v>
      </c>
      <c r="B2" s="25" t="s">
        <v>3</v>
      </c>
      <c r="C2" s="25" t="s">
        <v>4</v>
      </c>
      <c r="D2" s="25" t="s">
        <v>5</v>
      </c>
      <c r="E2" s="25" t="s">
        <v>6</v>
      </c>
      <c r="F2" s="25" t="s">
        <v>7</v>
      </c>
      <c r="G2" s="26" t="s">
        <v>8</v>
      </c>
      <c r="H2" s="26" t="s">
        <v>9</v>
      </c>
      <c r="I2" s="26" t="s">
        <v>10</v>
      </c>
      <c r="J2" s="26" t="s">
        <v>11</v>
      </c>
      <c r="K2" s="26" t="s">
        <v>12</v>
      </c>
      <c r="M2" s="27" t="s">
        <v>2</v>
      </c>
      <c r="N2" s="27" t="s">
        <v>13</v>
      </c>
    </row>
    <row r="3" spans="1:15" ht="15.75" x14ac:dyDescent="0.25">
      <c r="A3" s="2" t="s">
        <v>14</v>
      </c>
      <c r="B3" s="3" t="s">
        <v>15</v>
      </c>
      <c r="C3" s="4">
        <v>10</v>
      </c>
      <c r="D3" s="4">
        <v>7</v>
      </c>
      <c r="E3" s="4">
        <v>9.5</v>
      </c>
      <c r="F3" s="4">
        <v>9.5</v>
      </c>
      <c r="G3" s="5">
        <f>((C3+D3+F3+E3*2)/5)</f>
        <v>9.1</v>
      </c>
      <c r="H3" s="1">
        <f>VLOOKUP(LEFT(A3,1)*1,$M$3:$N$5,2,0)</f>
        <v>0.5</v>
      </c>
      <c r="I3" s="5">
        <f>G3+H3</f>
        <v>9.6</v>
      </c>
      <c r="J3" s="5">
        <f>VLOOKUP(MOD(I3,1),$M$14:$O$17,2,1)+INT(I3)</f>
        <v>9.5</v>
      </c>
      <c r="K3" s="1" t="str">
        <f>IF(AND(J3&gt;=5,C3&gt;=4,E3&gt;=5,F3&gt;=4),"ĐẬU","RỚT")</f>
        <v>ĐẬU</v>
      </c>
      <c r="M3" s="6">
        <v>1</v>
      </c>
      <c r="N3" s="7">
        <v>0.25</v>
      </c>
    </row>
    <row r="4" spans="1:15" ht="15.75" x14ac:dyDescent="0.25">
      <c r="A4" s="2" t="s">
        <v>16</v>
      </c>
      <c r="B4" s="3" t="s">
        <v>17</v>
      </c>
      <c r="C4" s="8">
        <v>5</v>
      </c>
      <c r="D4" s="8">
        <v>6.5</v>
      </c>
      <c r="E4" s="4">
        <v>8.5</v>
      </c>
      <c r="F4" s="4">
        <v>7.5</v>
      </c>
      <c r="G4" s="5">
        <f t="shared" ref="G4:G32" si="0">((C4+D4+F4+E4*2)/5)</f>
        <v>7.2</v>
      </c>
      <c r="H4" s="1">
        <f t="shared" ref="H4:H32" si="1">VLOOKUP(LEFT(A4,1)*1,$M$3:$N$5,2,0)</f>
        <v>0.5</v>
      </c>
      <c r="I4" s="5">
        <f t="shared" ref="I4:I32" si="2">G4+H4</f>
        <v>7.7</v>
      </c>
      <c r="J4" s="5">
        <f t="shared" ref="J4:J32" si="3">VLOOKUP(MOD(I4,1),$M$14:$O$17,2,1)+INT(I4)</f>
        <v>7.5</v>
      </c>
      <c r="K4" s="1" t="str">
        <f t="shared" ref="K4:K32" si="4">IF(AND(J4&gt;=5,C4&gt;=4,E4&gt;=5,F4&gt;=4),"ĐẬU","RỚT")</f>
        <v>ĐẬU</v>
      </c>
      <c r="M4" s="6">
        <v>2</v>
      </c>
      <c r="N4" s="7">
        <v>0.5</v>
      </c>
    </row>
    <row r="5" spans="1:15" ht="15.75" x14ac:dyDescent="0.25">
      <c r="A5" s="2" t="s">
        <v>18</v>
      </c>
      <c r="B5" s="3" t="s">
        <v>19</v>
      </c>
      <c r="C5" s="8">
        <v>7.5</v>
      </c>
      <c r="D5" s="8">
        <v>7</v>
      </c>
      <c r="E5" s="4">
        <v>8.5</v>
      </c>
      <c r="F5" s="4">
        <v>9</v>
      </c>
      <c r="G5" s="5">
        <f t="shared" si="0"/>
        <v>8.1</v>
      </c>
      <c r="H5" s="1">
        <f t="shared" si="1"/>
        <v>0.25</v>
      </c>
      <c r="I5" s="5">
        <f t="shared" si="2"/>
        <v>8.35</v>
      </c>
      <c r="J5" s="5">
        <f t="shared" si="3"/>
        <v>8.5</v>
      </c>
      <c r="K5" s="1" t="str">
        <f t="shared" si="4"/>
        <v>ĐẬU</v>
      </c>
      <c r="M5" s="6">
        <v>3</v>
      </c>
      <c r="N5" s="7">
        <v>1</v>
      </c>
    </row>
    <row r="6" spans="1:15" ht="15.75" x14ac:dyDescent="0.25">
      <c r="A6" s="2" t="s">
        <v>20</v>
      </c>
      <c r="B6" s="3" t="s">
        <v>21</v>
      </c>
      <c r="C6" s="4">
        <v>9</v>
      </c>
      <c r="D6" s="4">
        <v>7.5</v>
      </c>
      <c r="E6" s="4">
        <v>6.5</v>
      </c>
      <c r="F6" s="4">
        <v>8.5</v>
      </c>
      <c r="G6" s="5">
        <f t="shared" si="0"/>
        <v>7.6</v>
      </c>
      <c r="H6" s="1">
        <f t="shared" si="1"/>
        <v>0.5</v>
      </c>
      <c r="I6" s="5">
        <f t="shared" si="2"/>
        <v>8.1</v>
      </c>
      <c r="J6" s="5">
        <f t="shared" si="3"/>
        <v>8</v>
      </c>
      <c r="K6" s="1" t="str">
        <f t="shared" si="4"/>
        <v>ĐẬU</v>
      </c>
    </row>
    <row r="7" spans="1:15" ht="15.75" x14ac:dyDescent="0.25">
      <c r="A7" s="2" t="s">
        <v>22</v>
      </c>
      <c r="B7" s="3" t="s">
        <v>23</v>
      </c>
      <c r="C7" s="4">
        <v>7</v>
      </c>
      <c r="D7" s="4">
        <v>5</v>
      </c>
      <c r="E7" s="4">
        <v>6.5</v>
      </c>
      <c r="F7" s="4">
        <v>9.5</v>
      </c>
      <c r="G7" s="5">
        <f t="shared" si="0"/>
        <v>6.9</v>
      </c>
      <c r="H7" s="1">
        <f t="shared" si="1"/>
        <v>1</v>
      </c>
      <c r="I7" s="5">
        <f t="shared" si="2"/>
        <v>7.9</v>
      </c>
      <c r="J7" s="5">
        <f t="shared" si="3"/>
        <v>8</v>
      </c>
      <c r="K7" s="1" t="str">
        <f t="shared" si="4"/>
        <v>ĐẬU</v>
      </c>
      <c r="M7" s="58" t="s">
        <v>24</v>
      </c>
      <c r="N7" s="59"/>
    </row>
    <row r="8" spans="1:15" ht="15.75" x14ac:dyDescent="0.25">
      <c r="A8" s="2" t="s">
        <v>25</v>
      </c>
      <c r="B8" s="3" t="s">
        <v>26</v>
      </c>
      <c r="C8" s="4">
        <v>4.5</v>
      </c>
      <c r="D8" s="4">
        <v>5</v>
      </c>
      <c r="E8" s="4">
        <v>4</v>
      </c>
      <c r="F8" s="4">
        <v>5</v>
      </c>
      <c r="G8" s="5">
        <f t="shared" si="0"/>
        <v>4.5</v>
      </c>
      <c r="H8" s="1">
        <f t="shared" si="1"/>
        <v>0.5</v>
      </c>
      <c r="I8" s="5">
        <f t="shared" si="2"/>
        <v>5</v>
      </c>
      <c r="J8" s="5">
        <f t="shared" si="3"/>
        <v>5</v>
      </c>
      <c r="K8" s="1" t="str">
        <f t="shared" si="4"/>
        <v>RỚT</v>
      </c>
      <c r="M8" s="28" t="s">
        <v>27</v>
      </c>
      <c r="N8" s="28" t="s">
        <v>28</v>
      </c>
    </row>
    <row r="9" spans="1:15" ht="15.75" x14ac:dyDescent="0.25">
      <c r="A9" s="2" t="s">
        <v>29</v>
      </c>
      <c r="B9" s="3" t="s">
        <v>30</v>
      </c>
      <c r="C9" s="8">
        <v>7</v>
      </c>
      <c r="D9" s="4">
        <v>6</v>
      </c>
      <c r="E9" s="4">
        <v>9</v>
      </c>
      <c r="F9" s="4">
        <v>4</v>
      </c>
      <c r="G9" s="5">
        <f t="shared" si="0"/>
        <v>7</v>
      </c>
      <c r="H9" s="1">
        <f t="shared" si="1"/>
        <v>0.5</v>
      </c>
      <c r="I9" s="5">
        <f t="shared" si="2"/>
        <v>7.5</v>
      </c>
      <c r="J9" s="5">
        <f t="shared" si="3"/>
        <v>7.5</v>
      </c>
      <c r="K9" s="1" t="str">
        <f t="shared" si="4"/>
        <v>ĐẬU</v>
      </c>
      <c r="M9" s="9" t="s">
        <v>31</v>
      </c>
      <c r="N9" s="12">
        <f>COUNTIF(K3:K32,"ĐẬU")</f>
        <v>25</v>
      </c>
    </row>
    <row r="10" spans="1:15" ht="15.75" x14ac:dyDescent="0.25">
      <c r="A10" s="2" t="s">
        <v>32</v>
      </c>
      <c r="B10" s="3" t="s">
        <v>33</v>
      </c>
      <c r="C10" s="4">
        <v>5</v>
      </c>
      <c r="D10" s="4">
        <v>6.5</v>
      </c>
      <c r="E10" s="4">
        <v>8.5</v>
      </c>
      <c r="F10" s="4">
        <v>8.5</v>
      </c>
      <c r="G10" s="5">
        <f t="shared" si="0"/>
        <v>7.4</v>
      </c>
      <c r="H10" s="1">
        <f t="shared" si="1"/>
        <v>0.25</v>
      </c>
      <c r="I10" s="5">
        <f t="shared" si="2"/>
        <v>7.65</v>
      </c>
      <c r="J10" s="5">
        <f t="shared" si="3"/>
        <v>7.5</v>
      </c>
      <c r="K10" s="1" t="str">
        <f t="shared" si="4"/>
        <v>ĐẬU</v>
      </c>
      <c r="M10" s="9" t="s">
        <v>34</v>
      </c>
      <c r="N10" s="12">
        <f>COUNTIF(K4:K33,"RỚT")</f>
        <v>5</v>
      </c>
    </row>
    <row r="11" spans="1:15" ht="15.75" x14ac:dyDescent="0.25">
      <c r="A11" s="2" t="s">
        <v>35</v>
      </c>
      <c r="B11" s="3" t="s">
        <v>36</v>
      </c>
      <c r="C11" s="8">
        <v>7</v>
      </c>
      <c r="D11" s="4">
        <v>6</v>
      </c>
      <c r="E11" s="4">
        <v>6</v>
      </c>
      <c r="F11" s="4">
        <v>5</v>
      </c>
      <c r="G11" s="5">
        <f t="shared" si="0"/>
        <v>6</v>
      </c>
      <c r="H11" s="1">
        <f t="shared" si="1"/>
        <v>0.5</v>
      </c>
      <c r="I11" s="5">
        <f t="shared" si="2"/>
        <v>6.5</v>
      </c>
      <c r="J11" s="5">
        <f t="shared" si="3"/>
        <v>6.5</v>
      </c>
      <c r="K11" s="1" t="str">
        <f t="shared" si="4"/>
        <v>ĐẬU</v>
      </c>
      <c r="M11" s="9" t="s">
        <v>37</v>
      </c>
      <c r="N11" s="12">
        <f>COUNTIF(J3:J32,"&gt;=8")</f>
        <v>12</v>
      </c>
    </row>
    <row r="12" spans="1:15" ht="15.75" x14ac:dyDescent="0.25">
      <c r="A12" s="2" t="s">
        <v>38</v>
      </c>
      <c r="B12" s="3" t="s">
        <v>39</v>
      </c>
      <c r="C12" s="8">
        <v>5</v>
      </c>
      <c r="D12" s="8">
        <v>4</v>
      </c>
      <c r="E12" s="4">
        <v>5.5</v>
      </c>
      <c r="F12" s="4">
        <v>4.5</v>
      </c>
      <c r="G12" s="5">
        <f t="shared" si="0"/>
        <v>4.9000000000000004</v>
      </c>
      <c r="H12" s="1">
        <f t="shared" si="1"/>
        <v>0.5</v>
      </c>
      <c r="I12" s="5">
        <f t="shared" si="2"/>
        <v>5.4</v>
      </c>
      <c r="J12" s="5">
        <f t="shared" si="3"/>
        <v>5.5</v>
      </c>
      <c r="K12" s="1" t="str">
        <f t="shared" si="4"/>
        <v>ĐẬU</v>
      </c>
    </row>
    <row r="13" spans="1:15" ht="15.75" x14ac:dyDescent="0.25">
      <c r="A13" s="2" t="s">
        <v>40</v>
      </c>
      <c r="B13" s="3" t="s">
        <v>41</v>
      </c>
      <c r="C13" s="8">
        <v>6.5</v>
      </c>
      <c r="D13" s="4">
        <v>4.5</v>
      </c>
      <c r="E13" s="4">
        <v>5</v>
      </c>
      <c r="F13" s="4">
        <v>4</v>
      </c>
      <c r="G13" s="5">
        <f t="shared" si="0"/>
        <v>5</v>
      </c>
      <c r="H13" s="1">
        <f t="shared" si="1"/>
        <v>0.25</v>
      </c>
      <c r="I13" s="5">
        <f t="shared" si="2"/>
        <v>5.25</v>
      </c>
      <c r="J13" s="5">
        <f t="shared" si="3"/>
        <v>5.5</v>
      </c>
      <c r="K13" s="1" t="str">
        <f t="shared" si="4"/>
        <v>ĐẬU</v>
      </c>
      <c r="M13" s="60" t="s">
        <v>42</v>
      </c>
      <c r="N13" s="60"/>
      <c r="O13" s="60"/>
    </row>
    <row r="14" spans="1:15" ht="15.75" x14ac:dyDescent="0.25">
      <c r="A14" s="2" t="s">
        <v>43</v>
      </c>
      <c r="B14" s="3" t="s">
        <v>44</v>
      </c>
      <c r="C14" s="8">
        <v>5.5</v>
      </c>
      <c r="D14" s="8">
        <v>5</v>
      </c>
      <c r="E14" s="4">
        <v>7</v>
      </c>
      <c r="F14" s="4">
        <v>6.5</v>
      </c>
      <c r="G14" s="5">
        <f t="shared" si="0"/>
        <v>6.2</v>
      </c>
      <c r="H14" s="1">
        <f t="shared" si="1"/>
        <v>0.5</v>
      </c>
      <c r="I14" s="5">
        <f t="shared" si="2"/>
        <v>6.7</v>
      </c>
      <c r="J14" s="5">
        <f t="shared" si="3"/>
        <v>6.5</v>
      </c>
      <c r="K14" s="1" t="str">
        <f t="shared" si="4"/>
        <v>ĐẬU</v>
      </c>
      <c r="M14" s="29" t="s">
        <v>45</v>
      </c>
      <c r="N14" s="29" t="s">
        <v>46</v>
      </c>
      <c r="O14" s="29" t="s">
        <v>47</v>
      </c>
    </row>
    <row r="15" spans="1:15" ht="15.75" x14ac:dyDescent="0.25">
      <c r="A15" s="2" t="s">
        <v>48</v>
      </c>
      <c r="B15" s="3" t="s">
        <v>49</v>
      </c>
      <c r="C15" s="8">
        <v>8.5</v>
      </c>
      <c r="D15" s="4">
        <v>9.5</v>
      </c>
      <c r="E15" s="4">
        <v>2</v>
      </c>
      <c r="F15" s="4">
        <v>9.5</v>
      </c>
      <c r="G15" s="5">
        <f t="shared" si="0"/>
        <v>6.3</v>
      </c>
      <c r="H15" s="1">
        <f t="shared" si="1"/>
        <v>0.25</v>
      </c>
      <c r="I15" s="5">
        <f t="shared" si="2"/>
        <v>6.55</v>
      </c>
      <c r="J15" s="5">
        <f t="shared" si="3"/>
        <v>6.5</v>
      </c>
      <c r="K15" s="1" t="str">
        <f t="shared" si="4"/>
        <v>RỚT</v>
      </c>
      <c r="M15" s="11">
        <v>0</v>
      </c>
      <c r="N15" s="10">
        <v>0</v>
      </c>
      <c r="O15" s="10" t="s">
        <v>50</v>
      </c>
    </row>
    <row r="16" spans="1:15" ht="15.75" x14ac:dyDescent="0.25">
      <c r="A16" s="2" t="s">
        <v>51</v>
      </c>
      <c r="B16" s="3" t="s">
        <v>52</v>
      </c>
      <c r="C16" s="4">
        <v>5.5</v>
      </c>
      <c r="D16" s="4">
        <v>7.5</v>
      </c>
      <c r="E16" s="4">
        <v>8.5</v>
      </c>
      <c r="F16" s="4">
        <v>8.5</v>
      </c>
      <c r="G16" s="5">
        <f t="shared" si="0"/>
        <v>7.7</v>
      </c>
      <c r="H16" s="1">
        <f t="shared" si="1"/>
        <v>1</v>
      </c>
      <c r="I16" s="5">
        <f t="shared" si="2"/>
        <v>8.6999999999999993</v>
      </c>
      <c r="J16" s="5">
        <f t="shared" si="3"/>
        <v>8.5</v>
      </c>
      <c r="K16" s="1" t="str">
        <f t="shared" si="4"/>
        <v>ĐẬU</v>
      </c>
      <c r="M16" s="11">
        <v>0.25</v>
      </c>
      <c r="N16" s="10">
        <v>0.5</v>
      </c>
      <c r="O16" s="10" t="s">
        <v>53</v>
      </c>
    </row>
    <row r="17" spans="1:15" ht="15.75" x14ac:dyDescent="0.25">
      <c r="A17" s="2" t="s">
        <v>54</v>
      </c>
      <c r="B17" s="3" t="s">
        <v>55</v>
      </c>
      <c r="C17" s="8">
        <v>5</v>
      </c>
      <c r="D17" s="4">
        <v>9.5</v>
      </c>
      <c r="E17" s="4">
        <v>3.5</v>
      </c>
      <c r="F17" s="4">
        <v>6</v>
      </c>
      <c r="G17" s="5">
        <f t="shared" si="0"/>
        <v>5.5</v>
      </c>
      <c r="H17" s="1">
        <f t="shared" si="1"/>
        <v>0.25</v>
      </c>
      <c r="I17" s="5">
        <f t="shared" si="2"/>
        <v>5.75</v>
      </c>
      <c r="J17" s="5">
        <f t="shared" si="3"/>
        <v>6</v>
      </c>
      <c r="K17" s="1" t="str">
        <f t="shared" si="4"/>
        <v>RỚT</v>
      </c>
      <c r="M17" s="11">
        <v>0.75</v>
      </c>
      <c r="N17" s="10">
        <v>1</v>
      </c>
      <c r="O17" s="10" t="s">
        <v>56</v>
      </c>
    </row>
    <row r="18" spans="1:15" ht="15.75" x14ac:dyDescent="0.25">
      <c r="A18" s="2" t="s">
        <v>57</v>
      </c>
      <c r="B18" s="3" t="s">
        <v>58</v>
      </c>
      <c r="C18" s="8">
        <v>3</v>
      </c>
      <c r="D18" s="8">
        <v>6</v>
      </c>
      <c r="E18" s="4">
        <v>4</v>
      </c>
      <c r="F18" s="4">
        <v>6.5</v>
      </c>
      <c r="G18" s="5">
        <f t="shared" si="0"/>
        <v>4.7</v>
      </c>
      <c r="H18" s="1">
        <f t="shared" si="1"/>
        <v>0.25</v>
      </c>
      <c r="I18" s="5">
        <f t="shared" si="2"/>
        <v>4.95</v>
      </c>
      <c r="J18" s="5">
        <f t="shared" si="3"/>
        <v>5</v>
      </c>
      <c r="K18" s="1" t="str">
        <f t="shared" si="4"/>
        <v>RỚT</v>
      </c>
    </row>
    <row r="19" spans="1:15" ht="15.75" x14ac:dyDescent="0.25">
      <c r="A19" s="2" t="s">
        <v>59</v>
      </c>
      <c r="B19" s="3" t="s">
        <v>60</v>
      </c>
      <c r="C19" s="8">
        <v>6.5</v>
      </c>
      <c r="D19" s="4">
        <v>8.5</v>
      </c>
      <c r="E19" s="4">
        <v>6.5</v>
      </c>
      <c r="F19" s="4">
        <v>5</v>
      </c>
      <c r="G19" s="5">
        <f t="shared" si="0"/>
        <v>6.6</v>
      </c>
      <c r="H19" s="1">
        <f t="shared" si="1"/>
        <v>1</v>
      </c>
      <c r="I19" s="5">
        <f t="shared" si="2"/>
        <v>7.6</v>
      </c>
      <c r="J19" s="5">
        <f t="shared" si="3"/>
        <v>7.5</v>
      </c>
      <c r="K19" s="1" t="str">
        <f t="shared" si="4"/>
        <v>ĐẬU</v>
      </c>
    </row>
    <row r="20" spans="1:15" ht="15.75" x14ac:dyDescent="0.25">
      <c r="A20" s="2" t="s">
        <v>61</v>
      </c>
      <c r="B20" s="3" t="s">
        <v>62</v>
      </c>
      <c r="C20" s="8">
        <v>7.5</v>
      </c>
      <c r="D20" s="4">
        <v>9</v>
      </c>
      <c r="E20" s="4">
        <v>7.5</v>
      </c>
      <c r="F20" s="4">
        <v>6.5</v>
      </c>
      <c r="G20" s="5">
        <f t="shared" si="0"/>
        <v>7.6</v>
      </c>
      <c r="H20" s="1">
        <f t="shared" si="1"/>
        <v>0.25</v>
      </c>
      <c r="I20" s="5">
        <f t="shared" si="2"/>
        <v>7.85</v>
      </c>
      <c r="J20" s="5">
        <f t="shared" si="3"/>
        <v>8</v>
      </c>
      <c r="K20" s="1" t="str">
        <f t="shared" si="4"/>
        <v>ĐẬU</v>
      </c>
    </row>
    <row r="21" spans="1:15" ht="15.75" x14ac:dyDescent="0.25">
      <c r="A21" s="2" t="s">
        <v>63</v>
      </c>
      <c r="B21" s="3" t="s">
        <v>64</v>
      </c>
      <c r="C21" s="4">
        <v>9.5</v>
      </c>
      <c r="D21" s="4">
        <v>6.5</v>
      </c>
      <c r="E21" s="4">
        <v>9.5</v>
      </c>
      <c r="F21" s="4">
        <v>9.5</v>
      </c>
      <c r="G21" s="5">
        <f t="shared" si="0"/>
        <v>8.9</v>
      </c>
      <c r="H21" s="1">
        <f t="shared" si="1"/>
        <v>0.25</v>
      </c>
      <c r="I21" s="5">
        <f t="shared" si="2"/>
        <v>9.15</v>
      </c>
      <c r="J21" s="5">
        <f t="shared" si="3"/>
        <v>9</v>
      </c>
      <c r="K21" s="1" t="str">
        <f t="shared" si="4"/>
        <v>ĐẬU</v>
      </c>
    </row>
    <row r="22" spans="1:15" ht="15.75" x14ac:dyDescent="0.25">
      <c r="A22" s="2" t="s">
        <v>65</v>
      </c>
      <c r="B22" s="3" t="s">
        <v>66</v>
      </c>
      <c r="C22" s="4">
        <v>8.5</v>
      </c>
      <c r="D22" s="4">
        <v>6.5</v>
      </c>
      <c r="E22" s="4">
        <v>5</v>
      </c>
      <c r="F22" s="4">
        <v>5</v>
      </c>
      <c r="G22" s="5">
        <f t="shared" si="0"/>
        <v>6</v>
      </c>
      <c r="H22" s="1">
        <f t="shared" si="1"/>
        <v>1</v>
      </c>
      <c r="I22" s="5">
        <f t="shared" si="2"/>
        <v>7</v>
      </c>
      <c r="J22" s="5">
        <f t="shared" si="3"/>
        <v>7</v>
      </c>
      <c r="K22" s="1" t="str">
        <f t="shared" si="4"/>
        <v>ĐẬU</v>
      </c>
    </row>
    <row r="23" spans="1:15" ht="15.75" x14ac:dyDescent="0.25">
      <c r="A23" s="2" t="s">
        <v>67</v>
      </c>
      <c r="B23" s="3" t="s">
        <v>68</v>
      </c>
      <c r="C23" s="4">
        <v>8</v>
      </c>
      <c r="D23" s="4">
        <v>6.5</v>
      </c>
      <c r="E23" s="4">
        <v>5</v>
      </c>
      <c r="F23" s="4">
        <v>7.5</v>
      </c>
      <c r="G23" s="5">
        <f t="shared" si="0"/>
        <v>6.4</v>
      </c>
      <c r="H23" s="1">
        <f t="shared" si="1"/>
        <v>1</v>
      </c>
      <c r="I23" s="5">
        <f t="shared" si="2"/>
        <v>7.4</v>
      </c>
      <c r="J23" s="5">
        <f t="shared" si="3"/>
        <v>7.5</v>
      </c>
      <c r="K23" s="1" t="str">
        <f t="shared" si="4"/>
        <v>ĐẬU</v>
      </c>
    </row>
    <row r="24" spans="1:15" ht="15.75" x14ac:dyDescent="0.25">
      <c r="A24" s="2" t="s">
        <v>69</v>
      </c>
      <c r="B24" s="3" t="s">
        <v>70</v>
      </c>
      <c r="C24" s="4">
        <v>8.5</v>
      </c>
      <c r="D24" s="4">
        <v>6.5</v>
      </c>
      <c r="E24" s="4">
        <v>5</v>
      </c>
      <c r="F24" s="4">
        <v>10</v>
      </c>
      <c r="G24" s="5">
        <f t="shared" si="0"/>
        <v>7</v>
      </c>
      <c r="H24" s="1">
        <f t="shared" si="1"/>
        <v>1</v>
      </c>
      <c r="I24" s="5">
        <f t="shared" si="2"/>
        <v>8</v>
      </c>
      <c r="J24" s="5">
        <f t="shared" si="3"/>
        <v>8</v>
      </c>
      <c r="K24" s="1" t="str">
        <f t="shared" si="4"/>
        <v>ĐẬU</v>
      </c>
    </row>
    <row r="25" spans="1:15" ht="15.75" x14ac:dyDescent="0.25">
      <c r="A25" s="2" t="s">
        <v>71</v>
      </c>
      <c r="B25" s="3" t="s">
        <v>72</v>
      </c>
      <c r="C25" s="8">
        <v>6</v>
      </c>
      <c r="D25" s="8">
        <v>7.5</v>
      </c>
      <c r="E25" s="4">
        <v>8</v>
      </c>
      <c r="F25" s="4">
        <v>7</v>
      </c>
      <c r="G25" s="5">
        <f t="shared" si="0"/>
        <v>7.3</v>
      </c>
      <c r="H25" s="1">
        <f t="shared" si="1"/>
        <v>0.5</v>
      </c>
      <c r="I25" s="5">
        <f t="shared" si="2"/>
        <v>7.8</v>
      </c>
      <c r="J25" s="5">
        <f t="shared" si="3"/>
        <v>8</v>
      </c>
      <c r="K25" s="1" t="str">
        <f t="shared" si="4"/>
        <v>ĐẬU</v>
      </c>
    </row>
    <row r="26" spans="1:15" ht="15.75" x14ac:dyDescent="0.25">
      <c r="A26" s="2" t="s">
        <v>73</v>
      </c>
      <c r="B26" s="3" t="s">
        <v>74</v>
      </c>
      <c r="C26" s="8">
        <v>5.5</v>
      </c>
      <c r="D26" s="8">
        <v>5</v>
      </c>
      <c r="E26" s="4">
        <v>7</v>
      </c>
      <c r="F26" s="4">
        <v>5.5</v>
      </c>
      <c r="G26" s="5">
        <f t="shared" si="0"/>
        <v>6</v>
      </c>
      <c r="H26" s="1">
        <f t="shared" si="1"/>
        <v>0.25</v>
      </c>
      <c r="I26" s="5">
        <f t="shared" si="2"/>
        <v>6.25</v>
      </c>
      <c r="J26" s="5">
        <f t="shared" si="3"/>
        <v>6.5</v>
      </c>
      <c r="K26" s="1" t="str">
        <f t="shared" si="4"/>
        <v>ĐẬU</v>
      </c>
    </row>
    <row r="27" spans="1:15" ht="15.75" x14ac:dyDescent="0.25">
      <c r="A27" s="2" t="s">
        <v>75</v>
      </c>
      <c r="B27" s="3" t="s">
        <v>76</v>
      </c>
      <c r="C27" s="8">
        <v>9</v>
      </c>
      <c r="D27" s="4">
        <v>10</v>
      </c>
      <c r="E27" s="4">
        <v>7</v>
      </c>
      <c r="F27" s="4">
        <v>9.5</v>
      </c>
      <c r="G27" s="5">
        <f t="shared" si="0"/>
        <v>8.5</v>
      </c>
      <c r="H27" s="1">
        <f t="shared" si="1"/>
        <v>0.5</v>
      </c>
      <c r="I27" s="5">
        <f t="shared" si="2"/>
        <v>9</v>
      </c>
      <c r="J27" s="5">
        <f t="shared" si="3"/>
        <v>9</v>
      </c>
      <c r="K27" s="1" t="str">
        <f t="shared" si="4"/>
        <v>ĐẬU</v>
      </c>
    </row>
    <row r="28" spans="1:15" ht="15.75" x14ac:dyDescent="0.25">
      <c r="A28" s="2" t="s">
        <v>77</v>
      </c>
      <c r="B28" s="3" t="s">
        <v>78</v>
      </c>
      <c r="C28" s="8">
        <v>6.5</v>
      </c>
      <c r="D28" s="4">
        <v>8</v>
      </c>
      <c r="E28" s="4">
        <v>6.5</v>
      </c>
      <c r="F28" s="4">
        <v>5</v>
      </c>
      <c r="G28" s="5">
        <f t="shared" si="0"/>
        <v>6.5</v>
      </c>
      <c r="H28" s="1">
        <f t="shared" si="1"/>
        <v>0.25</v>
      </c>
      <c r="I28" s="5">
        <f t="shared" si="2"/>
        <v>6.75</v>
      </c>
      <c r="J28" s="5">
        <f t="shared" si="3"/>
        <v>7</v>
      </c>
      <c r="K28" s="1" t="str">
        <f t="shared" si="4"/>
        <v>ĐẬU</v>
      </c>
    </row>
    <row r="29" spans="1:15" ht="15.75" x14ac:dyDescent="0.25">
      <c r="A29" s="2" t="s">
        <v>79</v>
      </c>
      <c r="B29" s="3" t="s">
        <v>80</v>
      </c>
      <c r="C29" s="8">
        <v>5</v>
      </c>
      <c r="D29" s="8">
        <v>5</v>
      </c>
      <c r="E29" s="4">
        <v>5.5</v>
      </c>
      <c r="F29" s="4">
        <v>5.5</v>
      </c>
      <c r="G29" s="5">
        <f t="shared" si="0"/>
        <v>5.3</v>
      </c>
      <c r="H29" s="1">
        <f t="shared" si="1"/>
        <v>0.25</v>
      </c>
      <c r="I29" s="5">
        <f t="shared" si="2"/>
        <v>5.55</v>
      </c>
      <c r="J29" s="5">
        <f t="shared" si="3"/>
        <v>5.5</v>
      </c>
      <c r="K29" s="1" t="str">
        <f t="shared" si="4"/>
        <v>ĐẬU</v>
      </c>
    </row>
    <row r="30" spans="1:15" ht="15.75" x14ac:dyDescent="0.25">
      <c r="A30" s="2" t="s">
        <v>81</v>
      </c>
      <c r="B30" s="3" t="s">
        <v>82</v>
      </c>
      <c r="C30" s="4">
        <v>6.5</v>
      </c>
      <c r="D30" s="4">
        <v>6.5</v>
      </c>
      <c r="E30" s="4">
        <v>7.5</v>
      </c>
      <c r="F30" s="4">
        <v>8.5</v>
      </c>
      <c r="G30" s="5">
        <f t="shared" si="0"/>
        <v>7.3</v>
      </c>
      <c r="H30" s="1">
        <f t="shared" si="1"/>
        <v>0.5</v>
      </c>
      <c r="I30" s="5">
        <f t="shared" si="2"/>
        <v>7.8</v>
      </c>
      <c r="J30" s="5">
        <f t="shared" si="3"/>
        <v>8</v>
      </c>
      <c r="K30" s="1" t="str">
        <f t="shared" si="4"/>
        <v>ĐẬU</v>
      </c>
    </row>
    <row r="31" spans="1:15" ht="15.75" x14ac:dyDescent="0.25">
      <c r="A31" s="2" t="s">
        <v>83</v>
      </c>
      <c r="B31" s="3" t="s">
        <v>84</v>
      </c>
      <c r="C31" s="4">
        <v>2</v>
      </c>
      <c r="D31" s="4">
        <v>7.5</v>
      </c>
      <c r="E31" s="4">
        <v>5</v>
      </c>
      <c r="F31" s="4">
        <v>4</v>
      </c>
      <c r="G31" s="5">
        <f t="shared" si="0"/>
        <v>4.7</v>
      </c>
      <c r="H31" s="1">
        <f t="shared" si="1"/>
        <v>0.5</v>
      </c>
      <c r="I31" s="5">
        <f t="shared" si="2"/>
        <v>5.2</v>
      </c>
      <c r="J31" s="5">
        <f t="shared" si="3"/>
        <v>5</v>
      </c>
      <c r="K31" s="1" t="str">
        <f t="shared" si="4"/>
        <v>RỚT</v>
      </c>
    </row>
    <row r="32" spans="1:15" ht="26.25" x14ac:dyDescent="0.25">
      <c r="A32" s="2" t="s">
        <v>85</v>
      </c>
      <c r="B32" s="3" t="s">
        <v>86</v>
      </c>
      <c r="C32" s="4">
        <v>9.5</v>
      </c>
      <c r="D32" s="4">
        <v>8.5</v>
      </c>
      <c r="E32" s="4">
        <v>8.5</v>
      </c>
      <c r="F32" s="4">
        <v>6.5</v>
      </c>
      <c r="G32" s="5">
        <f t="shared" si="0"/>
        <v>8.3000000000000007</v>
      </c>
      <c r="H32" s="1">
        <f t="shared" si="1"/>
        <v>0.5</v>
      </c>
      <c r="I32" s="5">
        <f t="shared" si="2"/>
        <v>8.8000000000000007</v>
      </c>
      <c r="J32" s="5">
        <f t="shared" si="3"/>
        <v>9</v>
      </c>
      <c r="K32" s="1" t="str">
        <f t="shared" si="4"/>
        <v>ĐẬU</v>
      </c>
    </row>
  </sheetData>
  <mergeCells count="4">
    <mergeCell ref="A1:K1"/>
    <mergeCell ref="M1:N1"/>
    <mergeCell ref="M7:N7"/>
    <mergeCell ref="M13:O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03AA3-2D3B-413D-9448-C39963E078B3}">
  <dimension ref="A2:J34"/>
  <sheetViews>
    <sheetView workbookViewId="0">
      <selection activeCell="H23" sqref="H23"/>
    </sheetView>
  </sheetViews>
  <sheetFormatPr defaultRowHeight="15" x14ac:dyDescent="0.25"/>
  <cols>
    <col min="2" max="2" width="13.28515625" customWidth="1"/>
    <col min="3" max="3" width="12.5703125" customWidth="1"/>
    <col min="4" max="4" width="12.42578125" customWidth="1"/>
    <col min="5" max="5" width="11.28515625" customWidth="1"/>
    <col min="6" max="6" width="9.85546875" bestFit="1" customWidth="1"/>
    <col min="7" max="7" width="10.5703125" customWidth="1"/>
    <col min="8" max="8" width="14.42578125" customWidth="1"/>
  </cols>
  <sheetData>
    <row r="2" spans="1:10" x14ac:dyDescent="0.25">
      <c r="A2" s="65" t="s">
        <v>95</v>
      </c>
      <c r="B2" s="65"/>
      <c r="C2" s="10">
        <v>22</v>
      </c>
    </row>
    <row r="3" spans="1:10" ht="45" x14ac:dyDescent="0.25">
      <c r="A3" s="15" t="s">
        <v>96</v>
      </c>
      <c r="B3" s="15" t="s">
        <v>97</v>
      </c>
      <c r="C3" s="15" t="s">
        <v>98</v>
      </c>
      <c r="D3" s="15" t="s">
        <v>99</v>
      </c>
      <c r="E3" s="15" t="s">
        <v>100</v>
      </c>
      <c r="F3" s="15" t="s">
        <v>101</v>
      </c>
      <c r="G3" s="15" t="s">
        <v>102</v>
      </c>
      <c r="H3" s="15" t="s">
        <v>103</v>
      </c>
      <c r="I3" s="15" t="s">
        <v>104</v>
      </c>
      <c r="J3" s="15" t="s">
        <v>105</v>
      </c>
    </row>
    <row r="4" spans="1:10" x14ac:dyDescent="0.25">
      <c r="A4" s="10" t="s">
        <v>106</v>
      </c>
      <c r="B4" s="10" t="s">
        <v>120</v>
      </c>
      <c r="C4" s="13">
        <f>DATE(2003,2,1)</f>
        <v>37653</v>
      </c>
      <c r="D4" s="10" t="str">
        <f>HLOOKUP(MID(A4,3,1),$B$27:$F$28,2,0)</f>
        <v>G. đốc</v>
      </c>
      <c r="E4" s="10" t="str">
        <f>VLOOKUP(RIGHT(A4,2),$A$21:$B$24,2,0)</f>
        <v>Ban GĐ</v>
      </c>
      <c r="F4" s="14">
        <v>500000</v>
      </c>
      <c r="G4" s="10">
        <v>21</v>
      </c>
      <c r="H4" s="10">
        <f>HLOOKUP(MID(A4,3,1),$A$27:$F$30,3,0)</f>
        <v>300000</v>
      </c>
      <c r="I4" s="10">
        <f ca="1">VLOOKUP((TODAY()-C4)/365,$I$29:$J$34,2,1)</f>
        <v>500000</v>
      </c>
      <c r="J4" s="10">
        <f ca="1">F4*HLOOKUP(MID(A4,3,1),$B$27:$F$30,4,0)*G4/$C$2+H4+I4</f>
        <v>3186363.6363636362</v>
      </c>
    </row>
    <row r="5" spans="1:10" x14ac:dyDescent="0.25">
      <c r="A5" s="10" t="s">
        <v>107</v>
      </c>
      <c r="B5" s="10" t="s">
        <v>121</v>
      </c>
      <c r="C5" s="13">
        <f>DATE(1998,3,15)</f>
        <v>35869</v>
      </c>
      <c r="D5" s="10" t="str">
        <f t="shared" ref="D5:D17" si="0">HLOOKUP(MID(A5,3,1),$B$27:$F$28,2,0)</f>
        <v>N. viên</v>
      </c>
      <c r="E5" s="10" t="str">
        <f t="shared" ref="E5:E17" si="1">VLOOKUP(RIGHT(A5,2),$A$21:$B$24,2,0)</f>
        <v>P. H chánh</v>
      </c>
      <c r="F5" s="14">
        <v>220000</v>
      </c>
      <c r="G5" s="10">
        <v>22</v>
      </c>
      <c r="H5" s="10">
        <f t="shared" ref="H5:H17" si="2">HLOOKUP(MID(A5,3,1),$A$27:$F$30,3,0)</f>
        <v>0</v>
      </c>
      <c r="I5" s="10">
        <f t="shared" ref="I5:I17" ca="1" si="3">VLOOKUP((TODAY()-C5)/365,$I$29:$J$34,2,1)</f>
        <v>500000</v>
      </c>
      <c r="J5" s="10">
        <f t="shared" ref="J5:J17" ca="1" si="4">F5*HLOOKUP(MID(A5,3,1),$B$27:$F$30,4,0)*G5/$C$2+H5+I5</f>
        <v>1138000</v>
      </c>
    </row>
    <row r="6" spans="1:10" x14ac:dyDescent="0.25">
      <c r="A6" s="10" t="s">
        <v>108</v>
      </c>
      <c r="B6" s="10" t="s">
        <v>90</v>
      </c>
      <c r="C6" s="13">
        <f>DATE(1997,4,22)</f>
        <v>35542</v>
      </c>
      <c r="D6" s="10" t="str">
        <f t="shared" si="0"/>
        <v>N. viên</v>
      </c>
      <c r="E6" s="10" t="str">
        <f t="shared" si="1"/>
        <v>P.Ktoán</v>
      </c>
      <c r="F6" s="14">
        <v>200000</v>
      </c>
      <c r="G6" s="10">
        <v>22</v>
      </c>
      <c r="H6" s="10">
        <f t="shared" si="2"/>
        <v>0</v>
      </c>
      <c r="I6" s="10">
        <f t="shared" ca="1" si="3"/>
        <v>500000</v>
      </c>
      <c r="J6" s="10">
        <f t="shared" ca="1" si="4"/>
        <v>1080000</v>
      </c>
    </row>
    <row r="7" spans="1:10" x14ac:dyDescent="0.25">
      <c r="A7" s="10" t="s">
        <v>109</v>
      </c>
      <c r="B7" s="10" t="s">
        <v>89</v>
      </c>
      <c r="C7" s="13">
        <f>DATE(2008,5,14)</f>
        <v>39582</v>
      </c>
      <c r="D7" s="10" t="str">
        <f t="shared" si="0"/>
        <v>Phó G. đốc</v>
      </c>
      <c r="E7" s="10" t="str">
        <f t="shared" si="1"/>
        <v>Ban GĐ</v>
      </c>
      <c r="F7" s="14">
        <v>450000</v>
      </c>
      <c r="G7" s="10">
        <v>21</v>
      </c>
      <c r="H7" s="10">
        <f t="shared" si="2"/>
        <v>250000</v>
      </c>
      <c r="I7" s="10">
        <f t="shared" ca="1" si="3"/>
        <v>500000</v>
      </c>
      <c r="J7" s="10">
        <f t="shared" ca="1" si="4"/>
        <v>2725909.0909090908</v>
      </c>
    </row>
    <row r="8" spans="1:10" x14ac:dyDescent="0.25">
      <c r="A8" s="10" t="s">
        <v>110</v>
      </c>
      <c r="B8" s="10" t="s">
        <v>120</v>
      </c>
      <c r="C8" s="13">
        <f>DATE(2007,7,25)</f>
        <v>39288</v>
      </c>
      <c r="D8" s="10" t="str">
        <f t="shared" si="0"/>
        <v>Trưởng Pg</v>
      </c>
      <c r="E8" s="10" t="str">
        <f t="shared" si="1"/>
        <v>P. H chánh</v>
      </c>
      <c r="F8" s="14">
        <v>350000</v>
      </c>
      <c r="G8" s="10">
        <v>22</v>
      </c>
      <c r="H8" s="10">
        <f t="shared" si="2"/>
        <v>200000</v>
      </c>
      <c r="I8" s="10">
        <f t="shared" ca="1" si="3"/>
        <v>500000</v>
      </c>
      <c r="J8" s="10">
        <f t="shared" ca="1" si="4"/>
        <v>2030000</v>
      </c>
    </row>
    <row r="9" spans="1:10" x14ac:dyDescent="0.25">
      <c r="A9" s="10" t="s">
        <v>111</v>
      </c>
      <c r="B9" s="10" t="s">
        <v>122</v>
      </c>
      <c r="C9" s="13">
        <f>DATE(2000,3,16)</f>
        <v>36601</v>
      </c>
      <c r="D9" s="10" t="str">
        <f t="shared" si="0"/>
        <v>Trưởng Pg</v>
      </c>
      <c r="E9" s="10" t="str">
        <f t="shared" si="1"/>
        <v>P.Ktoán</v>
      </c>
      <c r="F9" s="14">
        <v>300000</v>
      </c>
      <c r="G9" s="10">
        <v>19</v>
      </c>
      <c r="H9" s="10">
        <f t="shared" si="2"/>
        <v>200000</v>
      </c>
      <c r="I9" s="10">
        <f t="shared" ca="1" si="3"/>
        <v>500000</v>
      </c>
      <c r="J9" s="10">
        <f t="shared" ca="1" si="4"/>
        <v>1684545.4545454546</v>
      </c>
    </row>
    <row r="10" spans="1:10" x14ac:dyDescent="0.25">
      <c r="A10" s="10" t="s">
        <v>112</v>
      </c>
      <c r="B10" s="10" t="s">
        <v>123</v>
      </c>
      <c r="C10" s="13">
        <f>DATE(2006,10,11)</f>
        <v>39001</v>
      </c>
      <c r="D10" s="10" t="str">
        <f t="shared" si="0"/>
        <v>N. viên</v>
      </c>
      <c r="E10" s="10" t="str">
        <f t="shared" si="1"/>
        <v>Cửa hàng</v>
      </c>
      <c r="F10" s="14">
        <v>270000</v>
      </c>
      <c r="G10" s="10">
        <v>18</v>
      </c>
      <c r="H10" s="10">
        <f t="shared" si="2"/>
        <v>0</v>
      </c>
      <c r="I10" s="10">
        <f t="shared" ca="1" si="3"/>
        <v>500000</v>
      </c>
      <c r="J10" s="10">
        <f t="shared" ca="1" si="4"/>
        <v>1140636.3636363638</v>
      </c>
    </row>
    <row r="11" spans="1:10" x14ac:dyDescent="0.25">
      <c r="A11" s="10" t="s">
        <v>113</v>
      </c>
      <c r="B11" s="10" t="s">
        <v>124</v>
      </c>
      <c r="C11" s="13">
        <f>DATE(2001,5,2)</f>
        <v>37013</v>
      </c>
      <c r="D11" s="10" t="str">
        <f t="shared" si="0"/>
        <v>N. viên</v>
      </c>
      <c r="E11" s="10" t="str">
        <f t="shared" si="1"/>
        <v>Cửa hàng</v>
      </c>
      <c r="F11" s="14">
        <v>200000</v>
      </c>
      <c r="G11" s="10">
        <v>20</v>
      </c>
      <c r="H11" s="10">
        <f t="shared" si="2"/>
        <v>0</v>
      </c>
      <c r="I11" s="10">
        <f t="shared" ca="1" si="3"/>
        <v>500000</v>
      </c>
      <c r="J11" s="10">
        <f t="shared" ca="1" si="4"/>
        <v>1027272.7272727273</v>
      </c>
    </row>
    <row r="12" spans="1:10" x14ac:dyDescent="0.25">
      <c r="A12" s="10" t="s">
        <v>114</v>
      </c>
      <c r="B12" s="10" t="s">
        <v>125</v>
      </c>
      <c r="C12" s="13">
        <f>DATE(2004,7,14)</f>
        <v>38182</v>
      </c>
      <c r="D12" s="10" t="str">
        <f t="shared" si="0"/>
        <v>CH Trưởng</v>
      </c>
      <c r="E12" s="10" t="str">
        <f t="shared" si="1"/>
        <v>Cửa hàng</v>
      </c>
      <c r="F12" s="14">
        <v>370000</v>
      </c>
      <c r="G12" s="10">
        <v>22</v>
      </c>
      <c r="H12" s="10">
        <f t="shared" si="2"/>
        <v>200000</v>
      </c>
      <c r="I12" s="10">
        <f t="shared" ca="1" si="3"/>
        <v>500000</v>
      </c>
      <c r="J12" s="10">
        <f t="shared" ca="1" si="4"/>
        <v>2069000</v>
      </c>
    </row>
    <row r="13" spans="1:10" x14ac:dyDescent="0.25">
      <c r="A13" s="10" t="s">
        <v>115</v>
      </c>
      <c r="B13" s="10" t="s">
        <v>126</v>
      </c>
      <c r="C13" s="13">
        <f>DATE(1999,4,23)</f>
        <v>36273</v>
      </c>
      <c r="D13" s="10" t="str">
        <f t="shared" si="0"/>
        <v>N. viên</v>
      </c>
      <c r="E13" s="10" t="str">
        <f t="shared" si="1"/>
        <v>Cửa hàng</v>
      </c>
      <c r="F13" s="14">
        <v>220000</v>
      </c>
      <c r="G13" s="10">
        <v>22</v>
      </c>
      <c r="H13" s="10">
        <f t="shared" si="2"/>
        <v>0</v>
      </c>
      <c r="I13" s="10">
        <f t="shared" ca="1" si="3"/>
        <v>500000</v>
      </c>
      <c r="J13" s="10">
        <f t="shared" ca="1" si="4"/>
        <v>1138000</v>
      </c>
    </row>
    <row r="14" spans="1:10" x14ac:dyDescent="0.25">
      <c r="A14" s="10" t="s">
        <v>116</v>
      </c>
      <c r="B14" s="10" t="s">
        <v>127</v>
      </c>
      <c r="C14" s="13">
        <f>DATE(1999,10,22)</f>
        <v>36455</v>
      </c>
      <c r="D14" s="10" t="str">
        <f t="shared" si="0"/>
        <v>N. viên</v>
      </c>
      <c r="E14" s="10" t="str">
        <f t="shared" si="1"/>
        <v>P.Ktoán</v>
      </c>
      <c r="F14" s="14">
        <v>230000</v>
      </c>
      <c r="G14" s="10">
        <v>21</v>
      </c>
      <c r="H14" s="10">
        <f t="shared" si="2"/>
        <v>0</v>
      </c>
      <c r="I14" s="10">
        <f t="shared" ca="1" si="3"/>
        <v>500000</v>
      </c>
      <c r="J14" s="10">
        <f t="shared" ca="1" si="4"/>
        <v>1136681.8181818184</v>
      </c>
    </row>
    <row r="15" spans="1:10" x14ac:dyDescent="0.25">
      <c r="A15" s="10" t="s">
        <v>117</v>
      </c>
      <c r="B15" s="10" t="s">
        <v>128</v>
      </c>
      <c r="C15" s="13">
        <f>DATE(2008,10,24)</f>
        <v>39745</v>
      </c>
      <c r="D15" s="10" t="str">
        <f t="shared" si="0"/>
        <v>N. viên</v>
      </c>
      <c r="E15" s="10" t="str">
        <f t="shared" si="1"/>
        <v>P. H chánh</v>
      </c>
      <c r="F15" s="14">
        <v>200000</v>
      </c>
      <c r="G15" s="10">
        <v>20</v>
      </c>
      <c r="H15" s="10">
        <f t="shared" si="2"/>
        <v>0</v>
      </c>
      <c r="I15" s="10">
        <f t="shared" ca="1" si="3"/>
        <v>500000</v>
      </c>
      <c r="J15" s="10">
        <f t="shared" ca="1" si="4"/>
        <v>1027272.7272727273</v>
      </c>
    </row>
    <row r="16" spans="1:10" x14ac:dyDescent="0.25">
      <c r="A16" s="10" t="s">
        <v>119</v>
      </c>
      <c r="B16" s="10" t="s">
        <v>129</v>
      </c>
      <c r="C16" s="13">
        <f>DATE(1997,2,26)</f>
        <v>35487</v>
      </c>
      <c r="D16" s="10" t="str">
        <f t="shared" si="0"/>
        <v>N. viên</v>
      </c>
      <c r="E16" s="10" t="str">
        <f t="shared" si="1"/>
        <v>Cửa hàng</v>
      </c>
      <c r="F16" s="14">
        <v>300000</v>
      </c>
      <c r="G16" s="10">
        <v>19</v>
      </c>
      <c r="H16" s="10">
        <f t="shared" si="2"/>
        <v>0</v>
      </c>
      <c r="I16" s="10">
        <f t="shared" ca="1" si="3"/>
        <v>500000</v>
      </c>
      <c r="J16" s="10">
        <f t="shared" ca="1" si="4"/>
        <v>1251363.6363636362</v>
      </c>
    </row>
    <row r="17" spans="1:10" x14ac:dyDescent="0.25">
      <c r="A17" s="10" t="s">
        <v>118</v>
      </c>
      <c r="B17" s="10" t="s">
        <v>130</v>
      </c>
      <c r="C17" s="13">
        <f>DATE(2006,3,15)</f>
        <v>38791</v>
      </c>
      <c r="D17" s="10" t="str">
        <f t="shared" si="0"/>
        <v>N. viên</v>
      </c>
      <c r="E17" s="10" t="str">
        <f t="shared" si="1"/>
        <v>P. H chánh</v>
      </c>
      <c r="F17" s="14">
        <v>220000</v>
      </c>
      <c r="G17" s="10">
        <v>20</v>
      </c>
      <c r="H17" s="10">
        <f t="shared" si="2"/>
        <v>0</v>
      </c>
      <c r="I17" s="10">
        <f t="shared" ca="1" si="3"/>
        <v>500000</v>
      </c>
      <c r="J17" s="10">
        <f t="shared" ca="1" si="4"/>
        <v>1080000</v>
      </c>
    </row>
    <row r="18" spans="1:10" x14ac:dyDescent="0.25">
      <c r="I18" s="10" t="s">
        <v>131</v>
      </c>
      <c r="J18" s="10">
        <f ca="1">SUM(J4:J17)</f>
        <v>21715045.454545457</v>
      </c>
    </row>
    <row r="20" spans="1:10" x14ac:dyDescent="0.25">
      <c r="A20" s="66" t="s">
        <v>132</v>
      </c>
      <c r="B20" s="67"/>
    </row>
    <row r="21" spans="1:10" x14ac:dyDescent="0.25">
      <c r="A21" s="16" t="s">
        <v>133</v>
      </c>
      <c r="B21" s="16" t="s">
        <v>137</v>
      </c>
      <c r="E21" s="68" t="s">
        <v>141</v>
      </c>
      <c r="F21" s="69"/>
      <c r="G21" s="70"/>
      <c r="H21" s="17">
        <f ca="1">SUMIF(E4:E17,"Ban GĐ",J4:J18)</f>
        <v>5912272.7272727266</v>
      </c>
    </row>
    <row r="22" spans="1:10" x14ac:dyDescent="0.25">
      <c r="A22" s="16" t="s">
        <v>134</v>
      </c>
      <c r="B22" s="16" t="s">
        <v>138</v>
      </c>
      <c r="E22" s="68" t="s">
        <v>142</v>
      </c>
      <c r="F22" s="69"/>
      <c r="G22" s="70"/>
      <c r="H22" s="17">
        <f ca="1">SUMIF(E4:E17,E5,J4:J17)</f>
        <v>5275272.7272727275</v>
      </c>
    </row>
    <row r="23" spans="1:10" x14ac:dyDescent="0.25">
      <c r="A23" s="16" t="s">
        <v>135</v>
      </c>
      <c r="B23" s="16" t="s">
        <v>139</v>
      </c>
      <c r="E23" s="68" t="s">
        <v>143</v>
      </c>
      <c r="F23" s="69"/>
      <c r="G23" s="70"/>
      <c r="H23" s="17">
        <f t="shared" ref="H23:H24" ca="1" si="5">SUMIF(E5:E18,E6,J5:J18)</f>
        <v>3901227.2727272729</v>
      </c>
    </row>
    <row r="24" spans="1:10" x14ac:dyDescent="0.25">
      <c r="A24" s="16" t="s">
        <v>136</v>
      </c>
      <c r="B24" s="16" t="s">
        <v>140</v>
      </c>
      <c r="E24" s="68" t="s">
        <v>144</v>
      </c>
      <c r="F24" s="69"/>
      <c r="G24" s="70"/>
      <c r="H24" s="17">
        <f t="shared" ca="1" si="5"/>
        <v>2725909.0909090908</v>
      </c>
    </row>
    <row r="26" spans="1:10" x14ac:dyDescent="0.25">
      <c r="A26" s="61" t="s">
        <v>145</v>
      </c>
      <c r="B26" s="61"/>
      <c r="C26" s="61"/>
      <c r="D26" s="61"/>
      <c r="E26" s="61"/>
      <c r="F26" s="61"/>
    </row>
    <row r="27" spans="1:10" x14ac:dyDescent="0.25">
      <c r="A27" s="18" t="s">
        <v>2</v>
      </c>
      <c r="B27" s="18" t="s">
        <v>91</v>
      </c>
      <c r="C27" s="18" t="s">
        <v>92</v>
      </c>
      <c r="D27" s="18" t="s">
        <v>93</v>
      </c>
      <c r="E27" s="18" t="s">
        <v>94</v>
      </c>
      <c r="F27" s="18" t="s">
        <v>147</v>
      </c>
      <c r="H27" s="62" t="s">
        <v>153</v>
      </c>
      <c r="I27" s="63"/>
      <c r="J27" s="64"/>
    </row>
    <row r="28" spans="1:10" x14ac:dyDescent="0.25">
      <c r="A28" s="18" t="s">
        <v>99</v>
      </c>
      <c r="B28" s="18" t="s">
        <v>148</v>
      </c>
      <c r="C28" s="18" t="s">
        <v>149</v>
      </c>
      <c r="D28" s="18" t="s">
        <v>150</v>
      </c>
      <c r="E28" s="18" t="s">
        <v>151</v>
      </c>
      <c r="F28" s="18" t="s">
        <v>152</v>
      </c>
      <c r="H28" s="20" t="s">
        <v>154</v>
      </c>
      <c r="I28" s="20" t="s">
        <v>161</v>
      </c>
      <c r="J28" s="20" t="s">
        <v>162</v>
      </c>
    </row>
    <row r="29" spans="1:10" x14ac:dyDescent="0.25">
      <c r="A29" s="18" t="s">
        <v>103</v>
      </c>
      <c r="B29" s="19">
        <v>300000</v>
      </c>
      <c r="C29" s="19">
        <v>250000</v>
      </c>
      <c r="D29" s="19">
        <v>200000</v>
      </c>
      <c r="E29" s="19">
        <v>200000</v>
      </c>
      <c r="F29" s="19">
        <v>0</v>
      </c>
      <c r="H29" s="20" t="s">
        <v>155</v>
      </c>
      <c r="I29" s="21">
        <v>0</v>
      </c>
      <c r="J29" s="21">
        <v>0</v>
      </c>
    </row>
    <row r="30" spans="1:10" x14ac:dyDescent="0.25">
      <c r="A30" s="18" t="s">
        <v>146</v>
      </c>
      <c r="B30" s="18">
        <v>5</v>
      </c>
      <c r="C30" s="18">
        <v>4.5999999999999996</v>
      </c>
      <c r="D30" s="18">
        <v>3.8</v>
      </c>
      <c r="E30" s="18">
        <v>3.7</v>
      </c>
      <c r="F30" s="18">
        <v>2.9</v>
      </c>
      <c r="H30" s="20" t="s">
        <v>156</v>
      </c>
      <c r="I30" s="20">
        <v>3</v>
      </c>
      <c r="J30" s="21">
        <v>100000</v>
      </c>
    </row>
    <row r="31" spans="1:10" x14ac:dyDescent="0.25">
      <c r="H31" s="20" t="s">
        <v>157</v>
      </c>
      <c r="I31" s="20">
        <v>5</v>
      </c>
      <c r="J31" s="21">
        <v>150000</v>
      </c>
    </row>
    <row r="32" spans="1:10" x14ac:dyDescent="0.25">
      <c r="H32" s="20" t="s">
        <v>158</v>
      </c>
      <c r="I32" s="20">
        <v>7</v>
      </c>
      <c r="J32" s="21">
        <v>200000</v>
      </c>
    </row>
    <row r="33" spans="8:10" x14ac:dyDescent="0.25">
      <c r="H33" s="20" t="s">
        <v>159</v>
      </c>
      <c r="I33" s="20">
        <v>10</v>
      </c>
      <c r="J33" s="21">
        <v>300000</v>
      </c>
    </row>
    <row r="34" spans="8:10" x14ac:dyDescent="0.25">
      <c r="H34" s="20" t="s">
        <v>160</v>
      </c>
      <c r="I34" s="20">
        <v>15</v>
      </c>
      <c r="J34" s="21">
        <v>500000</v>
      </c>
    </row>
  </sheetData>
  <mergeCells count="8">
    <mergeCell ref="A26:F26"/>
    <mergeCell ref="H27:J27"/>
    <mergeCell ref="A2:B2"/>
    <mergeCell ref="A20:B20"/>
    <mergeCell ref="E21:G21"/>
    <mergeCell ref="E22:G22"/>
    <mergeCell ref="E23:G23"/>
    <mergeCell ref="E24:G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8BF55-DEC1-470D-844C-50EE75F27F1F}">
  <dimension ref="A6:L34"/>
  <sheetViews>
    <sheetView topLeftCell="A4" workbookViewId="0">
      <selection activeCell="R24" sqref="R24"/>
    </sheetView>
  </sheetViews>
  <sheetFormatPr defaultRowHeight="15" x14ac:dyDescent="0.25"/>
  <cols>
    <col min="2" max="2" width="18.140625" customWidth="1"/>
    <col min="3" max="3" width="12.42578125" customWidth="1"/>
    <col min="4" max="4" width="10.42578125" customWidth="1"/>
    <col min="5" max="5" width="12" customWidth="1"/>
    <col min="6" max="6" width="11.42578125" customWidth="1"/>
    <col min="7" max="7" width="13.7109375" customWidth="1"/>
  </cols>
  <sheetData>
    <row r="6" spans="1:12" x14ac:dyDescent="0.25">
      <c r="A6" s="22" t="s">
        <v>163</v>
      </c>
      <c r="B6" s="22" t="s">
        <v>164</v>
      </c>
      <c r="C6" s="22" t="s">
        <v>165</v>
      </c>
      <c r="D6" s="22" t="s">
        <v>166</v>
      </c>
      <c r="E6" s="22" t="s">
        <v>167</v>
      </c>
      <c r="F6" s="22" t="s">
        <v>168</v>
      </c>
      <c r="G6" s="22" t="s">
        <v>169</v>
      </c>
      <c r="H6" s="22" t="s">
        <v>170</v>
      </c>
      <c r="I6" s="22" t="s">
        <v>171</v>
      </c>
      <c r="J6" s="22" t="s">
        <v>172</v>
      </c>
      <c r="K6" s="22" t="s">
        <v>173</v>
      </c>
      <c r="L6" s="22" t="s">
        <v>87</v>
      </c>
    </row>
    <row r="7" spans="1:12" x14ac:dyDescent="0.25">
      <c r="A7" s="10">
        <v>1</v>
      </c>
      <c r="B7" s="10" t="s">
        <v>174</v>
      </c>
      <c r="C7" s="10" t="s">
        <v>88</v>
      </c>
      <c r="D7" s="10" t="s">
        <v>192</v>
      </c>
      <c r="E7" s="13">
        <f>DATE(1996,3,5)</f>
        <v>35129</v>
      </c>
      <c r="F7" s="13">
        <f>DATE(1996,3,16)</f>
        <v>35140</v>
      </c>
      <c r="G7" s="80">
        <f>HLOOKUP(RIGHT(D7,2),$G$19:$K$20,2,0)*(F7-E7)</f>
        <v>220000</v>
      </c>
      <c r="H7" s="10">
        <f>INT((F7-E7)/7)</f>
        <v>1</v>
      </c>
      <c r="I7" s="10">
        <f>VLOOKUP(LEFT(D7,3),$B$20:$D$25,2,0)</f>
        <v>140000</v>
      </c>
      <c r="J7" s="80">
        <f>MOD(F7-E7,7)</f>
        <v>4</v>
      </c>
      <c r="K7" s="10">
        <f>VLOOKUP(LEFT(D7,3),$B$20:$D$25,3,0)</f>
        <v>25000</v>
      </c>
      <c r="L7" s="80">
        <f>G7+H7+I7+J7+K7</f>
        <v>385005</v>
      </c>
    </row>
    <row r="8" spans="1:12" x14ac:dyDescent="0.25">
      <c r="A8" s="10">
        <v>2</v>
      </c>
      <c r="B8" s="10" t="s">
        <v>175</v>
      </c>
      <c r="C8" s="10" t="s">
        <v>184</v>
      </c>
      <c r="D8" s="10" t="s">
        <v>193</v>
      </c>
      <c r="E8" s="13">
        <f>DATE(1996,3,6)</f>
        <v>35130</v>
      </c>
      <c r="F8" s="13">
        <f>DATE(1996,3,20)</f>
        <v>35144</v>
      </c>
      <c r="G8" s="80">
        <f t="shared" ref="G8:G16" si="0">HLOOKUP(RIGHT(D8,2),$G$19:$K$20,2,0)*(F8-E8)</f>
        <v>700000</v>
      </c>
      <c r="H8" s="10">
        <f t="shared" ref="H8:H16" si="1">INT((F8-E8)/7)</f>
        <v>2</v>
      </c>
      <c r="I8" s="10">
        <f t="shared" ref="I8:I16" si="2">VLOOKUP(LEFT(D8,3),$B$20:$D$25,2,0)</f>
        <v>210000</v>
      </c>
      <c r="J8" s="80">
        <f t="shared" ref="J8:J16" si="3">MOD(F8-E8,7)</f>
        <v>0</v>
      </c>
      <c r="K8" s="10">
        <f t="shared" ref="K8:K16" si="4">VLOOKUP(LEFT(D8,3),$B$20:$D$25,3,0)</f>
        <v>36000</v>
      </c>
      <c r="L8" s="80">
        <f t="shared" ref="L8:L16" si="5">G8+H8+I8+J8+K8</f>
        <v>946002</v>
      </c>
    </row>
    <row r="9" spans="1:12" x14ac:dyDescent="0.25">
      <c r="A9" s="10">
        <v>3</v>
      </c>
      <c r="B9" s="10" t="s">
        <v>176</v>
      </c>
      <c r="C9" s="10" t="s">
        <v>185</v>
      </c>
      <c r="D9" s="10" t="s">
        <v>194</v>
      </c>
      <c r="E9" s="13">
        <f>DATE(1996,3,10)</f>
        <v>35134</v>
      </c>
      <c r="F9" s="13">
        <f>DATE(1996,3,30)</f>
        <v>35154</v>
      </c>
      <c r="G9" s="80">
        <f t="shared" si="0"/>
        <v>1000000</v>
      </c>
      <c r="H9" s="10">
        <f t="shared" si="1"/>
        <v>2</v>
      </c>
      <c r="I9" s="10">
        <f t="shared" si="2"/>
        <v>260000</v>
      </c>
      <c r="J9" s="80">
        <f t="shared" si="3"/>
        <v>6</v>
      </c>
      <c r="K9" s="10">
        <f t="shared" si="4"/>
        <v>45000</v>
      </c>
      <c r="L9" s="80">
        <f t="shared" si="5"/>
        <v>1305008</v>
      </c>
    </row>
    <row r="10" spans="1:12" x14ac:dyDescent="0.25">
      <c r="A10" s="10">
        <v>4</v>
      </c>
      <c r="B10" s="10" t="s">
        <v>177</v>
      </c>
      <c r="C10" s="10" t="s">
        <v>186</v>
      </c>
      <c r="D10" s="10" t="s">
        <v>195</v>
      </c>
      <c r="E10" s="13">
        <f>DATE(1996,3,15)</f>
        <v>35139</v>
      </c>
      <c r="F10" s="13">
        <f>DATE(1996,4,1)</f>
        <v>35156</v>
      </c>
      <c r="G10" s="80">
        <f t="shared" si="0"/>
        <v>425000</v>
      </c>
      <c r="H10" s="10">
        <f t="shared" si="1"/>
        <v>2</v>
      </c>
      <c r="I10" s="10">
        <f t="shared" si="2"/>
        <v>210000</v>
      </c>
      <c r="J10" s="80">
        <f t="shared" si="3"/>
        <v>3</v>
      </c>
      <c r="K10" s="10">
        <f t="shared" si="4"/>
        <v>36000</v>
      </c>
      <c r="L10" s="80">
        <f t="shared" si="5"/>
        <v>671005</v>
      </c>
    </row>
    <row r="11" spans="1:12" x14ac:dyDescent="0.25">
      <c r="A11" s="10">
        <v>5</v>
      </c>
      <c r="B11" s="10" t="s">
        <v>178</v>
      </c>
      <c r="C11" s="10" t="s">
        <v>187</v>
      </c>
      <c r="D11" s="10" t="s">
        <v>196</v>
      </c>
      <c r="E11" s="13">
        <f>DATE(1996,3,17)</f>
        <v>35141</v>
      </c>
      <c r="F11" s="13">
        <f>DATE(1996,4,30)</f>
        <v>35185</v>
      </c>
      <c r="G11" s="80">
        <f t="shared" si="0"/>
        <v>2200000</v>
      </c>
      <c r="H11" s="10">
        <f t="shared" si="1"/>
        <v>6</v>
      </c>
      <c r="I11" s="10">
        <f t="shared" si="2"/>
        <v>250000</v>
      </c>
      <c r="J11" s="80">
        <f t="shared" si="3"/>
        <v>2</v>
      </c>
      <c r="K11" s="10">
        <f t="shared" si="4"/>
        <v>40000</v>
      </c>
      <c r="L11" s="80">
        <f t="shared" si="5"/>
        <v>2490008</v>
      </c>
    </row>
    <row r="12" spans="1:12" x14ac:dyDescent="0.25">
      <c r="A12" s="10">
        <v>6</v>
      </c>
      <c r="B12" s="10" t="s">
        <v>179</v>
      </c>
      <c r="C12" s="10" t="s">
        <v>126</v>
      </c>
      <c r="D12" s="10" t="s">
        <v>197</v>
      </c>
      <c r="E12" s="13">
        <f>DATE(1996,3,22)</f>
        <v>35146</v>
      </c>
      <c r="F12" s="13">
        <f>DATE(1996,3,27)</f>
        <v>35151</v>
      </c>
      <c r="G12" s="80">
        <f t="shared" si="0"/>
        <v>150000</v>
      </c>
      <c r="H12" s="10">
        <f t="shared" si="1"/>
        <v>0</v>
      </c>
      <c r="I12" s="10">
        <f t="shared" si="2"/>
        <v>190000</v>
      </c>
      <c r="J12" s="80">
        <f t="shared" si="3"/>
        <v>5</v>
      </c>
      <c r="K12" s="10">
        <f t="shared" si="4"/>
        <v>30000</v>
      </c>
      <c r="L12" s="80">
        <f t="shared" si="5"/>
        <v>370005</v>
      </c>
    </row>
    <row r="13" spans="1:12" x14ac:dyDescent="0.25">
      <c r="A13" s="10">
        <v>7</v>
      </c>
      <c r="B13" s="10" t="s">
        <v>180</v>
      </c>
      <c r="C13" s="10" t="s">
        <v>188</v>
      </c>
      <c r="D13" s="10" t="s">
        <v>198</v>
      </c>
      <c r="E13" s="13">
        <f>DATE(1996,3,30)</f>
        <v>35154</v>
      </c>
      <c r="F13" s="13">
        <f>DATE(1996,4,21)</f>
        <v>35176</v>
      </c>
      <c r="G13" s="80">
        <f t="shared" si="0"/>
        <v>440000</v>
      </c>
      <c r="H13" s="10">
        <f t="shared" si="1"/>
        <v>3</v>
      </c>
      <c r="I13" s="10">
        <f t="shared" si="2"/>
        <v>260000</v>
      </c>
      <c r="J13" s="80">
        <f t="shared" si="3"/>
        <v>1</v>
      </c>
      <c r="K13" s="10">
        <f t="shared" si="4"/>
        <v>45000</v>
      </c>
      <c r="L13" s="80">
        <f t="shared" si="5"/>
        <v>745004</v>
      </c>
    </row>
    <row r="14" spans="1:12" x14ac:dyDescent="0.25">
      <c r="A14" s="10">
        <v>8</v>
      </c>
      <c r="B14" s="10" t="s">
        <v>181</v>
      </c>
      <c r="C14" s="10" t="s">
        <v>189</v>
      </c>
      <c r="D14" s="10" t="s">
        <v>199</v>
      </c>
      <c r="E14" s="13">
        <f>DATE(1996,4,3)</f>
        <v>35158</v>
      </c>
      <c r="F14" s="13">
        <f>DATE(1996,4,21)</f>
        <v>35176</v>
      </c>
      <c r="G14" s="80">
        <f t="shared" si="0"/>
        <v>360000</v>
      </c>
      <c r="H14" s="10">
        <f t="shared" si="1"/>
        <v>2</v>
      </c>
      <c r="I14" s="10">
        <f t="shared" si="2"/>
        <v>130000</v>
      </c>
      <c r="J14" s="80">
        <f t="shared" si="3"/>
        <v>4</v>
      </c>
      <c r="K14" s="10">
        <f t="shared" si="4"/>
        <v>20000</v>
      </c>
      <c r="L14" s="80">
        <f t="shared" si="5"/>
        <v>510006</v>
      </c>
    </row>
    <row r="15" spans="1:12" x14ac:dyDescent="0.25">
      <c r="A15" s="10">
        <v>9</v>
      </c>
      <c r="B15" s="10" t="s">
        <v>182</v>
      </c>
      <c r="C15" s="10" t="s">
        <v>190</v>
      </c>
      <c r="D15" s="10" t="s">
        <v>200</v>
      </c>
      <c r="E15" s="13">
        <f>DATE(1996,4,5)</f>
        <v>35160</v>
      </c>
      <c r="F15" s="13">
        <f>DATE(1996,5,12)</f>
        <v>35197</v>
      </c>
      <c r="G15" s="80">
        <f t="shared" si="0"/>
        <v>925000</v>
      </c>
      <c r="H15" s="10">
        <f t="shared" si="1"/>
        <v>5</v>
      </c>
      <c r="I15" s="10">
        <f t="shared" si="2"/>
        <v>130000</v>
      </c>
      <c r="J15" s="80">
        <f t="shared" si="3"/>
        <v>2</v>
      </c>
      <c r="K15" s="10">
        <f t="shared" si="4"/>
        <v>20000</v>
      </c>
      <c r="L15" s="80">
        <f t="shared" si="5"/>
        <v>1075007</v>
      </c>
    </row>
    <row r="16" spans="1:12" x14ac:dyDescent="0.25">
      <c r="A16" s="10">
        <v>10</v>
      </c>
      <c r="B16" s="10" t="s">
        <v>183</v>
      </c>
      <c r="C16" s="10" t="s">
        <v>191</v>
      </c>
      <c r="D16" s="10" t="s">
        <v>201</v>
      </c>
      <c r="E16" s="13">
        <f>DATE(1996,4,12)</f>
        <v>35167</v>
      </c>
      <c r="F16" s="13">
        <f>DATE(1996,4,27)</f>
        <v>35182</v>
      </c>
      <c r="G16" s="80">
        <f t="shared" si="0"/>
        <v>600000</v>
      </c>
      <c r="H16" s="10">
        <f t="shared" si="1"/>
        <v>2</v>
      </c>
      <c r="I16" s="10">
        <f t="shared" si="2"/>
        <v>250000</v>
      </c>
      <c r="J16" s="80">
        <f t="shared" si="3"/>
        <v>1</v>
      </c>
      <c r="K16" s="10">
        <f t="shared" si="4"/>
        <v>40000</v>
      </c>
      <c r="L16" s="80">
        <f t="shared" si="5"/>
        <v>890003</v>
      </c>
    </row>
    <row r="18" spans="2:11" x14ac:dyDescent="0.25">
      <c r="B18" s="71" t="s">
        <v>202</v>
      </c>
      <c r="C18" s="72"/>
      <c r="D18" s="73"/>
      <c r="G18" s="71" t="s">
        <v>211</v>
      </c>
      <c r="H18" s="72"/>
      <c r="I18" s="72"/>
      <c r="J18" s="73"/>
      <c r="K18" s="10"/>
    </row>
    <row r="19" spans="2:11" x14ac:dyDescent="0.25">
      <c r="B19" s="23" t="s">
        <v>203</v>
      </c>
      <c r="C19" s="23" t="s">
        <v>204</v>
      </c>
      <c r="D19" s="23" t="s">
        <v>173</v>
      </c>
      <c r="G19" s="23" t="s">
        <v>212</v>
      </c>
      <c r="H19" s="23" t="s">
        <v>213</v>
      </c>
      <c r="I19" s="23" t="s">
        <v>214</v>
      </c>
      <c r="J19" s="23" t="s">
        <v>215</v>
      </c>
      <c r="K19" s="23" t="s">
        <v>216</v>
      </c>
    </row>
    <row r="20" spans="2:11" x14ac:dyDescent="0.25">
      <c r="B20" s="23" t="s">
        <v>205</v>
      </c>
      <c r="C20" s="24">
        <v>260000</v>
      </c>
      <c r="D20" s="24">
        <v>45000</v>
      </c>
      <c r="G20" s="24">
        <v>20000</v>
      </c>
      <c r="H20" s="24">
        <v>25000</v>
      </c>
      <c r="I20" s="24">
        <v>30000</v>
      </c>
      <c r="J20" s="24">
        <v>40000</v>
      </c>
      <c r="K20" s="24">
        <v>50000</v>
      </c>
    </row>
    <row r="21" spans="2:11" x14ac:dyDescent="0.25">
      <c r="B21" s="23" t="s">
        <v>206</v>
      </c>
      <c r="C21" s="24">
        <v>250000</v>
      </c>
      <c r="D21" s="24">
        <v>40000</v>
      </c>
    </row>
    <row r="22" spans="2:11" x14ac:dyDescent="0.25">
      <c r="B22" s="23" t="s">
        <v>207</v>
      </c>
      <c r="C22" s="24">
        <v>210000</v>
      </c>
      <c r="D22" s="24">
        <v>36000</v>
      </c>
    </row>
    <row r="23" spans="2:11" x14ac:dyDescent="0.25">
      <c r="B23" s="23" t="s">
        <v>208</v>
      </c>
      <c r="C23" s="24">
        <v>190000</v>
      </c>
      <c r="D23" s="24">
        <v>30000</v>
      </c>
    </row>
    <row r="24" spans="2:11" x14ac:dyDescent="0.25">
      <c r="B24" s="23" t="s">
        <v>209</v>
      </c>
      <c r="C24" s="24">
        <v>140000</v>
      </c>
      <c r="D24" s="24">
        <v>25000</v>
      </c>
    </row>
    <row r="25" spans="2:11" x14ac:dyDescent="0.25">
      <c r="B25" s="23" t="s">
        <v>210</v>
      </c>
      <c r="C25" s="24">
        <v>130000</v>
      </c>
      <c r="D25" s="24">
        <v>20000</v>
      </c>
    </row>
    <row r="27" spans="2:11" x14ac:dyDescent="0.25">
      <c r="B27" s="81" t="s">
        <v>271</v>
      </c>
    </row>
    <row r="28" spans="2:11" x14ac:dyDescent="0.25">
      <c r="B28" s="81" t="s">
        <v>272</v>
      </c>
      <c r="C28" t="s">
        <v>273</v>
      </c>
    </row>
    <row r="29" spans="2:11" x14ac:dyDescent="0.25">
      <c r="B29" s="81" t="s">
        <v>205</v>
      </c>
      <c r="C29">
        <f>COUNTIF(D7:D16,"L1A*")</f>
        <v>2</v>
      </c>
    </row>
    <row r="30" spans="2:11" x14ac:dyDescent="0.25">
      <c r="B30" s="81" t="s">
        <v>206</v>
      </c>
      <c r="C30">
        <f t="shared" ref="C30:C34" si="6">COUNTIF(D8:D17,"L1A*")</f>
        <v>2</v>
      </c>
    </row>
    <row r="31" spans="2:11" x14ac:dyDescent="0.25">
      <c r="B31" s="81" t="s">
        <v>207</v>
      </c>
      <c r="C31">
        <f t="shared" si="6"/>
        <v>2</v>
      </c>
    </row>
    <row r="32" spans="2:11" x14ac:dyDescent="0.25">
      <c r="B32" s="81" t="s">
        <v>208</v>
      </c>
      <c r="C32">
        <f t="shared" si="6"/>
        <v>1</v>
      </c>
    </row>
    <row r="33" spans="2:3" x14ac:dyDescent="0.25">
      <c r="B33" s="81" t="s">
        <v>209</v>
      </c>
      <c r="C33">
        <f>COUNTIF(D11:D20,"L3A*")</f>
        <v>0</v>
      </c>
    </row>
    <row r="34" spans="2:3" x14ac:dyDescent="0.25">
      <c r="B34" s="81" t="s">
        <v>210</v>
      </c>
      <c r="C34">
        <f>COUNTIF(D12:D21,"L3B*")</f>
        <v>2</v>
      </c>
    </row>
  </sheetData>
  <mergeCells count="2">
    <mergeCell ref="B18:D18"/>
    <mergeCell ref="G18:J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489FE-5EF0-4C61-BD34-E357600C0270}">
  <dimension ref="A1:L27"/>
  <sheetViews>
    <sheetView zoomScale="85" zoomScaleNormal="85" workbookViewId="0">
      <selection activeCell="H9" sqref="H9"/>
    </sheetView>
  </sheetViews>
  <sheetFormatPr defaultColWidth="10.42578125" defaultRowHeight="15" x14ac:dyDescent="0.25"/>
  <cols>
    <col min="1" max="1" width="10" style="31" bestFit="1" customWidth="1"/>
    <col min="2" max="2" width="15.140625" style="31" bestFit="1" customWidth="1"/>
    <col min="3" max="3" width="13.28515625" style="31" bestFit="1" customWidth="1"/>
    <col min="4" max="4" width="12.42578125" style="31" customWidth="1"/>
    <col min="5" max="5" width="9.140625" style="31" customWidth="1"/>
    <col min="6" max="6" width="11.85546875" style="31" bestFit="1" customWidth="1"/>
    <col min="7" max="7" width="9.85546875" style="31" customWidth="1"/>
    <col min="8" max="8" width="14.7109375" style="31" customWidth="1"/>
    <col min="9" max="9" width="18.42578125" style="31" customWidth="1"/>
    <col min="10" max="10" width="29.85546875" style="31" customWidth="1"/>
    <col min="11" max="11" width="12.140625" style="31" bestFit="1" customWidth="1"/>
    <col min="12" max="12" width="16.85546875" style="31" bestFit="1" customWidth="1"/>
    <col min="13" max="16384" width="10.42578125" style="31"/>
  </cols>
  <sheetData>
    <row r="1" spans="1:12" ht="18.75" x14ac:dyDescent="0.3">
      <c r="A1" s="74" t="s">
        <v>217</v>
      </c>
      <c r="B1" s="74"/>
      <c r="C1" s="74"/>
      <c r="D1" s="74"/>
      <c r="E1" s="74"/>
      <c r="F1" s="74"/>
      <c r="G1" s="30"/>
      <c r="H1" s="75" t="s">
        <v>218</v>
      </c>
      <c r="I1" s="76"/>
      <c r="J1" s="76"/>
      <c r="K1" s="76"/>
      <c r="L1" s="77"/>
    </row>
    <row r="2" spans="1:12" ht="15.75" x14ac:dyDescent="0.25">
      <c r="A2" s="39" t="s">
        <v>219</v>
      </c>
      <c r="B2" s="39" t="s">
        <v>220</v>
      </c>
      <c r="C2" s="39" t="s">
        <v>221</v>
      </c>
      <c r="D2" s="39" t="s">
        <v>222</v>
      </c>
      <c r="E2" s="39" t="s">
        <v>28</v>
      </c>
      <c r="F2" s="39" t="s">
        <v>223</v>
      </c>
      <c r="G2" s="30"/>
      <c r="H2" s="39" t="s">
        <v>219</v>
      </c>
      <c r="I2" s="7" t="s">
        <v>224</v>
      </c>
      <c r="J2" s="7" t="s">
        <v>225</v>
      </c>
      <c r="K2" s="7" t="s">
        <v>226</v>
      </c>
      <c r="L2" s="7" t="s">
        <v>227</v>
      </c>
    </row>
    <row r="3" spans="1:12" ht="15.75" x14ac:dyDescent="0.25">
      <c r="A3" s="32" t="s">
        <v>228</v>
      </c>
      <c r="B3" s="7"/>
      <c r="C3" s="7"/>
      <c r="D3" s="33">
        <v>43831</v>
      </c>
      <c r="E3" s="7"/>
      <c r="F3" s="7"/>
      <c r="G3" s="34"/>
      <c r="H3" s="39" t="s">
        <v>229</v>
      </c>
      <c r="I3" s="35">
        <v>2050000</v>
      </c>
      <c r="J3" s="36">
        <v>3000000</v>
      </c>
      <c r="K3" s="36">
        <v>8000000</v>
      </c>
      <c r="L3" s="36">
        <v>950000</v>
      </c>
    </row>
    <row r="4" spans="1:12" ht="15.75" x14ac:dyDescent="0.25">
      <c r="A4" s="32" t="s">
        <v>230</v>
      </c>
      <c r="B4" s="7"/>
      <c r="C4" s="7"/>
      <c r="D4" s="33">
        <v>43954</v>
      </c>
      <c r="E4" s="7"/>
      <c r="F4" s="7"/>
      <c r="G4" s="34"/>
      <c r="H4" s="39" t="s">
        <v>220</v>
      </c>
      <c r="I4" s="7" t="s">
        <v>231</v>
      </c>
      <c r="J4" s="7" t="s">
        <v>232</v>
      </c>
      <c r="K4" s="7" t="s">
        <v>233</v>
      </c>
      <c r="L4" s="7" t="s">
        <v>234</v>
      </c>
    </row>
    <row r="5" spans="1:12" ht="15.75" x14ac:dyDescent="0.25">
      <c r="A5" s="32" t="s">
        <v>235</v>
      </c>
      <c r="B5" s="7"/>
      <c r="C5" s="7"/>
      <c r="D5" s="33">
        <v>43987</v>
      </c>
      <c r="E5" s="7"/>
      <c r="F5" s="7"/>
      <c r="G5" s="34"/>
    </row>
    <row r="6" spans="1:12" ht="15.75" x14ac:dyDescent="0.25">
      <c r="A6" s="32" t="s">
        <v>236</v>
      </c>
      <c r="B6" s="7"/>
      <c r="C6" s="7"/>
      <c r="D6" s="33">
        <v>43997</v>
      </c>
      <c r="E6" s="7"/>
      <c r="F6" s="7"/>
      <c r="G6" s="34"/>
      <c r="I6" s="78" t="s">
        <v>24</v>
      </c>
      <c r="J6" s="78"/>
      <c r="K6" s="78"/>
    </row>
    <row r="7" spans="1:12" ht="15.75" x14ac:dyDescent="0.25">
      <c r="A7" s="32" t="s">
        <v>237</v>
      </c>
      <c r="B7" s="7"/>
      <c r="C7" s="7"/>
      <c r="D7" s="33">
        <v>43985</v>
      </c>
      <c r="E7" s="7"/>
      <c r="F7" s="7"/>
      <c r="G7" s="34"/>
      <c r="I7" s="79" t="s">
        <v>238</v>
      </c>
      <c r="J7" s="79"/>
      <c r="K7" s="37" t="s">
        <v>239</v>
      </c>
    </row>
    <row r="8" spans="1:12" ht="15.75" x14ac:dyDescent="0.25">
      <c r="A8" s="32" t="s">
        <v>240</v>
      </c>
      <c r="B8" s="7"/>
      <c r="C8" s="7"/>
      <c r="D8" s="33">
        <v>43881</v>
      </c>
      <c r="E8" s="7"/>
      <c r="F8" s="7"/>
      <c r="G8" s="34"/>
    </row>
    <row r="9" spans="1:12" ht="15.75" x14ac:dyDescent="0.25">
      <c r="A9" s="32" t="s">
        <v>241</v>
      </c>
      <c r="B9" s="7"/>
      <c r="C9" s="7"/>
      <c r="D9" s="33">
        <v>43957</v>
      </c>
      <c r="E9" s="7"/>
      <c r="F9" s="7"/>
      <c r="G9" s="34"/>
    </row>
    <row r="10" spans="1:12" ht="15.75" x14ac:dyDescent="0.25">
      <c r="A10" s="32" t="s">
        <v>242</v>
      </c>
      <c r="B10" s="7"/>
      <c r="C10" s="7"/>
      <c r="D10" s="33">
        <v>43908</v>
      </c>
      <c r="E10" s="7"/>
      <c r="F10" s="7"/>
      <c r="G10" s="34"/>
    </row>
    <row r="11" spans="1:12" ht="15.75" x14ac:dyDescent="0.25">
      <c r="A11" s="32" t="s">
        <v>243</v>
      </c>
      <c r="B11" s="7"/>
      <c r="C11" s="7"/>
      <c r="D11" s="33">
        <v>43881</v>
      </c>
      <c r="E11" s="7"/>
      <c r="F11" s="7"/>
      <c r="G11" s="34"/>
    </row>
    <row r="12" spans="1:12" ht="15.75" x14ac:dyDescent="0.25">
      <c r="A12" s="32" t="s">
        <v>244</v>
      </c>
      <c r="B12" s="7"/>
      <c r="C12" s="7"/>
      <c r="D12" s="33">
        <v>43985</v>
      </c>
      <c r="E12" s="7"/>
      <c r="F12" s="7"/>
      <c r="G12" s="34"/>
      <c r="H12" s="30"/>
    </row>
    <row r="13" spans="1:12" ht="15.75" x14ac:dyDescent="0.25">
      <c r="A13" s="32" t="s">
        <v>245</v>
      </c>
      <c r="B13" s="7"/>
      <c r="C13" s="7"/>
      <c r="D13" s="33">
        <v>43924</v>
      </c>
      <c r="E13" s="7"/>
      <c r="F13" s="7"/>
      <c r="G13" s="34"/>
      <c r="H13" s="30"/>
      <c r="I13" s="30"/>
    </row>
    <row r="14" spans="1:12" ht="15.75" x14ac:dyDescent="0.25">
      <c r="A14" s="32" t="s">
        <v>246</v>
      </c>
      <c r="B14" s="7"/>
      <c r="C14" s="7"/>
      <c r="D14" s="33">
        <v>43886</v>
      </c>
      <c r="E14" s="7"/>
      <c r="F14" s="7"/>
      <c r="G14" s="34"/>
      <c r="H14" s="30"/>
      <c r="I14" s="30"/>
    </row>
    <row r="15" spans="1:12" ht="15.75" x14ac:dyDescent="0.25">
      <c r="A15" s="32" t="s">
        <v>247</v>
      </c>
      <c r="B15" s="7"/>
      <c r="C15" s="7"/>
      <c r="D15" s="33">
        <v>43960</v>
      </c>
      <c r="E15" s="7"/>
      <c r="F15" s="7"/>
      <c r="G15" s="34"/>
      <c r="H15" s="30"/>
      <c r="I15" s="30"/>
    </row>
    <row r="16" spans="1:12" ht="15.75" x14ac:dyDescent="0.25">
      <c r="A16" s="32" t="s">
        <v>248</v>
      </c>
      <c r="B16" s="7"/>
      <c r="C16" s="7"/>
      <c r="D16" s="33">
        <v>44001</v>
      </c>
      <c r="E16" s="7"/>
      <c r="F16" s="7"/>
      <c r="G16" s="34"/>
      <c r="H16" s="30"/>
      <c r="I16" s="30"/>
    </row>
    <row r="17" spans="1:9" ht="15.75" x14ac:dyDescent="0.25">
      <c r="A17" s="32" t="s">
        <v>249</v>
      </c>
      <c r="B17" s="7"/>
      <c r="C17" s="7"/>
      <c r="D17" s="33">
        <v>44004</v>
      </c>
      <c r="E17" s="7"/>
      <c r="F17" s="7"/>
      <c r="G17" s="34"/>
      <c r="H17" s="30"/>
      <c r="I17" s="30"/>
    </row>
    <row r="18" spans="1:9" ht="15.75" x14ac:dyDescent="0.25">
      <c r="A18" s="32" t="s">
        <v>250</v>
      </c>
      <c r="B18" s="7"/>
      <c r="C18" s="7"/>
      <c r="D18" s="33">
        <v>44001</v>
      </c>
      <c r="E18" s="7"/>
      <c r="F18" s="7"/>
      <c r="G18" s="34"/>
      <c r="H18" s="30"/>
      <c r="I18" s="30"/>
    </row>
    <row r="19" spans="1:9" ht="15.75" x14ac:dyDescent="0.25">
      <c r="A19" s="32" t="s">
        <v>251</v>
      </c>
      <c r="B19" s="7"/>
      <c r="C19" s="7"/>
      <c r="D19" s="33">
        <v>43996</v>
      </c>
      <c r="E19" s="7"/>
      <c r="F19" s="7"/>
      <c r="G19" s="34"/>
      <c r="H19" s="30"/>
      <c r="I19" s="30"/>
    </row>
    <row r="20" spans="1:9" ht="15.75" x14ac:dyDescent="0.25">
      <c r="A20" s="32" t="s">
        <v>252</v>
      </c>
      <c r="B20" s="7"/>
      <c r="C20" s="7"/>
      <c r="D20" s="33">
        <v>43997</v>
      </c>
      <c r="E20" s="7"/>
      <c r="F20" s="7"/>
      <c r="G20" s="34"/>
      <c r="H20" s="30"/>
      <c r="I20" s="30"/>
    </row>
    <row r="21" spans="1:9" ht="15.75" x14ac:dyDescent="0.25">
      <c r="A21" s="32" t="s">
        <v>253</v>
      </c>
      <c r="B21" s="7"/>
      <c r="C21" s="7"/>
      <c r="D21" s="33">
        <v>44002</v>
      </c>
      <c r="E21" s="7"/>
      <c r="F21" s="7"/>
      <c r="G21" s="34"/>
      <c r="H21" s="30"/>
      <c r="I21" s="30"/>
    </row>
    <row r="22" spans="1:9" ht="15.75" x14ac:dyDescent="0.25">
      <c r="A22" s="30"/>
      <c r="B22" s="30"/>
      <c r="C22" s="30"/>
      <c r="D22" s="30"/>
      <c r="E22" s="30"/>
      <c r="F22" s="30"/>
      <c r="G22" s="30"/>
      <c r="H22" s="30"/>
      <c r="I22" s="30"/>
    </row>
    <row r="23" spans="1:9" ht="15.75" x14ac:dyDescent="0.25">
      <c r="G23" s="38"/>
      <c r="H23" s="30"/>
      <c r="I23" s="30"/>
    </row>
    <row r="24" spans="1:9" ht="15.75" x14ac:dyDescent="0.25">
      <c r="G24" s="30"/>
      <c r="H24" s="30"/>
      <c r="I24" s="30"/>
    </row>
    <row r="25" spans="1:9" ht="15.75" x14ac:dyDescent="0.25">
      <c r="G25" s="30"/>
      <c r="H25" s="30"/>
      <c r="I25" s="30"/>
    </row>
    <row r="26" spans="1:9" ht="15.75" x14ac:dyDescent="0.25">
      <c r="G26" s="30"/>
      <c r="H26" s="30"/>
      <c r="I26" s="30"/>
    </row>
    <row r="27" spans="1:9" ht="15.75" x14ac:dyDescent="0.25">
      <c r="G27" s="30"/>
      <c r="H27" s="30"/>
      <c r="I27" s="30"/>
    </row>
  </sheetData>
  <mergeCells count="4">
    <mergeCell ref="A1:F1"/>
    <mergeCell ref="H1:L1"/>
    <mergeCell ref="I6:K6"/>
    <mergeCell ref="I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BAI 1</vt:lpstr>
      <vt:lpstr>BAI 2</vt:lpstr>
      <vt:lpstr>BAI 3</vt:lpstr>
      <vt:lpstr>BAI 4</vt:lpstr>
      <vt:lpstr>BAI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Mỹ Nguyên</dc:creator>
  <cp:lastModifiedBy>Administrator</cp:lastModifiedBy>
  <dcterms:created xsi:type="dcterms:W3CDTF">2025-11-28T01:25:36Z</dcterms:created>
  <dcterms:modified xsi:type="dcterms:W3CDTF">2025-12-04T09:18:09Z</dcterms:modified>
</cp:coreProperties>
</file>