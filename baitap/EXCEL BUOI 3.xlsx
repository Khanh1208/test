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87582EAE-A35E-40B3-81B3-CF96E6DB0361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BAI 1" sheetId="1" r:id="rId1"/>
    <sheet name="BAI 2" sheetId="2" r:id="rId2"/>
    <sheet name="BAI 3" sheetId="3" r:id="rId3"/>
    <sheet name="BAI 4" sheetId="4" r:id="rId4"/>
    <sheet name="BAI 5" sheetId="5" r:id="rId5"/>
  </sheets>
  <definedNames>
    <definedName name="ĐƠN_GIÁ">#REF!</definedName>
    <definedName name="NCC">#REF!</definedName>
    <definedName name="NGƯỜI_BÁN">#REF!</definedName>
    <definedName name="SL">#REF!</definedName>
    <definedName name="STT">#REF!</definedName>
    <definedName name="TÊN_MẶT_HÀNG">#REF!</definedName>
    <definedName name="TỔNG_TIỀ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9" roundtripDataChecksum="CTb1o04Zi5FmCRNQVywMZmV24ocegpdCOP+9kcYBync="/>
    </ext>
  </extLst>
</workbook>
</file>

<file path=xl/calcChain.xml><?xml version="1.0" encoding="utf-8"?>
<calcChain xmlns="http://schemas.openxmlformats.org/spreadsheetml/2006/main">
  <c r="I5" i="3" l="1"/>
  <c r="I6" i="3"/>
  <c r="I7" i="3"/>
  <c r="I8" i="3"/>
  <c r="I9" i="3"/>
  <c r="I10" i="3"/>
  <c r="I11" i="3"/>
  <c r="I12" i="3"/>
  <c r="I13" i="3"/>
  <c r="I14" i="3"/>
  <c r="I4" i="3"/>
  <c r="H5" i="3"/>
  <c r="H6" i="3"/>
  <c r="H7" i="3"/>
  <c r="H8" i="3"/>
  <c r="H9" i="3"/>
  <c r="H10" i="3"/>
  <c r="H11" i="3"/>
  <c r="H12" i="3"/>
  <c r="H13" i="3"/>
  <c r="H14" i="3"/>
  <c r="H4" i="3"/>
  <c r="G5" i="3"/>
  <c r="G6" i="3"/>
  <c r="G7" i="3"/>
  <c r="G8" i="3"/>
  <c r="G9" i="3"/>
  <c r="G10" i="3"/>
  <c r="G11" i="3"/>
  <c r="G12" i="3"/>
  <c r="G13" i="3"/>
  <c r="G14" i="3"/>
  <c r="G4" i="3"/>
  <c r="E5" i="3"/>
  <c r="E6" i="3"/>
  <c r="E7" i="3"/>
  <c r="E8" i="3"/>
  <c r="E9" i="3"/>
  <c r="E10" i="3"/>
  <c r="E11" i="3"/>
  <c r="E12" i="3"/>
  <c r="E13" i="3"/>
  <c r="E14" i="3"/>
  <c r="E4" i="3"/>
  <c r="C5" i="3"/>
  <c r="C6" i="3"/>
  <c r="C7" i="3"/>
  <c r="C8" i="3"/>
  <c r="C9" i="3"/>
  <c r="C10" i="3"/>
  <c r="C11" i="3"/>
  <c r="C12" i="3"/>
  <c r="C13" i="3"/>
  <c r="C14" i="3"/>
  <c r="C4" i="3"/>
  <c r="E3" i="1"/>
  <c r="E4" i="1"/>
  <c r="E5" i="1"/>
  <c r="E6" i="1"/>
  <c r="E7" i="1"/>
  <c r="E2" i="1"/>
  <c r="D3" i="1"/>
  <c r="D4" i="1"/>
  <c r="D5" i="1"/>
  <c r="D6" i="1"/>
  <c r="D7" i="1"/>
  <c r="D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<sst xmlns="http://schemas.openxmlformats.org/spreadsheetml/2006/main" count="133" uniqueCount="131">
  <si>
    <t>STT</t>
  </si>
  <si>
    <t>Họ và tên</t>
  </si>
  <si>
    <t>MSSV</t>
  </si>
  <si>
    <t>Tên lớp</t>
  </si>
  <si>
    <t>Mã nhập học</t>
  </si>
  <si>
    <t>Ngành học</t>
  </si>
  <si>
    <t>Nguyễn Văn C</t>
  </si>
  <si>
    <t>1604QTKD12A</t>
  </si>
  <si>
    <t>Lâm Thị Cẩm</t>
  </si>
  <si>
    <t>1605QTKD12A</t>
  </si>
  <si>
    <t>Đào Ngọc Mai</t>
  </si>
  <si>
    <t>1606TCNH12C</t>
  </si>
  <si>
    <t>Trương Duy Minh</t>
  </si>
  <si>
    <t>1614QTKD12B</t>
  </si>
  <si>
    <t>Lâm Mỹ Ngọc</t>
  </si>
  <si>
    <t>1616QTKD12B</t>
  </si>
  <si>
    <t>Huỳnh Văn Tùng</t>
  </si>
  <si>
    <t>1618KDQT12D</t>
  </si>
  <si>
    <t>Thực hiện tách các giá trị</t>
  </si>
  <si>
    <t>Biết</t>
  </si>
  <si>
    <t>Tên lớp: 3 ký tự cuối trong MSSV (Ví dụ: 12A)</t>
  </si>
  <si>
    <t>Mã nhập học: 4 ký tư đầu trong MSSV (Ví dụ: 1604)</t>
  </si>
  <si>
    <t>Ngành học: ký tự thứ 5 đến 8 trong MSSV (Ví dụ: QTKD)</t>
  </si>
  <si>
    <t>BẢNG THEO DÕI NHẬP XUẤT HÀNG</t>
  </si>
  <si>
    <t>MÃ
HÀNG</t>
  </si>
  <si>
    <t>NHẬP</t>
  </si>
  <si>
    <t>XUẤT</t>
  </si>
  <si>
    <t>ĐƠN GIÁ</t>
  </si>
  <si>
    <t>TIỀN</t>
  </si>
  <si>
    <t>THUẾ</t>
  </si>
  <si>
    <t>A001Y</t>
  </si>
  <si>
    <t>B012N</t>
  </si>
  <si>
    <t>B003Y</t>
  </si>
  <si>
    <t>A011N</t>
  </si>
  <si>
    <t>B054Y</t>
  </si>
  <si>
    <t>A003Y</t>
  </si>
  <si>
    <t>B015N</t>
  </si>
  <si>
    <t>TỔNG</t>
  </si>
  <si>
    <t>THỰC HÀNH TÍNH BẢNG LƯƠNG</t>
  </si>
  <si>
    <t>MSNV</t>
  </si>
  <si>
    <t>TÊN</t>
  </si>
  <si>
    <t>CHỨC VỤ</t>
  </si>
  <si>
    <t>PHÒNG BAN</t>
  </si>
  <si>
    <t>LƯƠNG CB</t>
  </si>
  <si>
    <t>HỆ SỐ</t>
  </si>
  <si>
    <t>LƯƠNG CHÍNH</t>
  </si>
  <si>
    <t>PHỤ CẤP CHỨC VỤ</t>
  </si>
  <si>
    <t>THỰC LÃNH</t>
  </si>
  <si>
    <t>01AGD</t>
  </si>
  <si>
    <t>Xuân</t>
  </si>
  <si>
    <t>02CHC</t>
  </si>
  <si>
    <t>Hạ</t>
  </si>
  <si>
    <t>03BGD</t>
  </si>
  <si>
    <t>Thu</t>
  </si>
  <si>
    <t>04DHC</t>
  </si>
  <si>
    <t>Đông</t>
  </si>
  <si>
    <t>05DKH</t>
  </si>
  <si>
    <t>Bắc</t>
  </si>
  <si>
    <t>06CKH</t>
  </si>
  <si>
    <t>Trung</t>
  </si>
  <si>
    <t>07DHC</t>
  </si>
  <si>
    <t>Nam</t>
  </si>
  <si>
    <t>08DHC</t>
  </si>
  <si>
    <t>Công</t>
  </si>
  <si>
    <t>09DKH</t>
  </si>
  <si>
    <t>Chính</t>
  </si>
  <si>
    <t>10DHC</t>
  </si>
  <si>
    <t>Liêm</t>
  </si>
  <si>
    <t>11DHC</t>
  </si>
  <si>
    <t>Minh</t>
  </si>
  <si>
    <t>Tổng nhân sự Ban GĐ</t>
  </si>
  <si>
    <t>Thực lãnh cao nhất</t>
  </si>
  <si>
    <t>Tổng  nhân  sự Phòng HC</t>
  </si>
  <si>
    <t>Thực lãnh thấp nhất</t>
  </si>
  <si>
    <t>Tổng nhân sự Phòng KH</t>
  </si>
  <si>
    <t>Thực lãnh bình quân</t>
  </si>
  <si>
    <t>Tổng nhân sự toàn Công ty</t>
  </si>
  <si>
    <t>Tổng thực lãnh ban GĐ</t>
  </si>
  <si>
    <t>Tổng thực lãnh Phòng HC</t>
  </si>
  <si>
    <t>Tổng thực lãnh phòng KH</t>
  </si>
  <si>
    <t>DANH SÁCH THI TUYỂN</t>
  </si>
  <si>
    <t>TÊN THÍ SINH</t>
  </si>
  <si>
    <t>NHẬP ĐIỂM</t>
  </si>
  <si>
    <t>LÝ
THUYẾT</t>
  </si>
  <si>
    <t>THỰC
HÀNH</t>
  </si>
  <si>
    <t>ĐTB</t>
  </si>
  <si>
    <t>XẾP
LOẠI</t>
  </si>
  <si>
    <t>LT</t>
  </si>
  <si>
    <t>TH</t>
  </si>
  <si>
    <t>Đỗ Bảo Nam Blog</t>
  </si>
  <si>
    <t>Nguyễn Quỳnh Anh</t>
  </si>
  <si>
    <t>Nguyễn Đức Cảnh</t>
  </si>
  <si>
    <t>Đinh Thanh Hải</t>
  </si>
  <si>
    <t>Nguyễn Thị Nhung</t>
  </si>
  <si>
    <t>BẢNG XẾP LOẠI</t>
  </si>
  <si>
    <t>Điểm</t>
  </si>
  <si>
    <t>Xếp loại</t>
  </si>
  <si>
    <t>Rớt</t>
  </si>
  <si>
    <t>Trung bình</t>
  </si>
  <si>
    <t>Khá</t>
  </si>
  <si>
    <t>Giỏi</t>
  </si>
  <si>
    <t>BẢNG KẾT QUẢ TUYỂN SINH</t>
  </si>
  <si>
    <t>SỐ TT</t>
  </si>
  <si>
    <t>HỌ VÀ TÊN</t>
  </si>
  <si>
    <t>MÃ SỐ NGÀNH-
ƯU TIÊN</t>
  </si>
  <si>
    <t>TÊN
NGÀNH</t>
  </si>
  <si>
    <t>TOÁN</t>
  </si>
  <si>
    <t>LÝ</t>
  </si>
  <si>
    <t>CỘNG
ĐIỂM</t>
  </si>
  <si>
    <t>ĐIỂM
ƯU TIÊN</t>
  </si>
  <si>
    <t>TỔNG
CỘNG</t>
  </si>
  <si>
    <t>KẾT
QUẢ</t>
  </si>
  <si>
    <t>Đỗ Bảo Nam</t>
  </si>
  <si>
    <t>A1</t>
  </si>
  <si>
    <t>Trần Thị Vy</t>
  </si>
  <si>
    <t>B3</t>
  </si>
  <si>
    <t>Hồ Thị Ly</t>
  </si>
  <si>
    <t>C2</t>
  </si>
  <si>
    <t>Lý Thị Vân</t>
  </si>
  <si>
    <t>C4</t>
  </si>
  <si>
    <t>ĐIỂM ƯU TIÊN</t>
  </si>
  <si>
    <t>NGÀNH
HỌC</t>
  </si>
  <si>
    <t>Mã ngành</t>
  </si>
  <si>
    <t>A</t>
  </si>
  <si>
    <t>B</t>
  </si>
  <si>
    <t>C</t>
  </si>
  <si>
    <t>Mã
ưu tiên</t>
  </si>
  <si>
    <t>Tên ngành</t>
  </si>
  <si>
    <t>Tin học</t>
  </si>
  <si>
    <t>Lý</t>
  </si>
  <si>
    <t>Hóa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</si>
</sst>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0.0"/>
  </numFmts>
  <fonts count="9" x14ac:knownFonts="1">
    <font>
      <sz val="11"/>
      <color theme="1"/>
      <name val="Calibri"/>
      <scheme val="minor"/>
    </font>
    <font>
      <sz val="12"/>
      <color theme="1"/>
      <name val="Times New Roman"/>
    </font>
    <font>
      <b/>
      <i/>
      <u/>
      <sz val="12"/>
      <color theme="1"/>
      <name val="Times New Roman"/>
    </font>
    <font>
      <b/>
      <sz val="14"/>
      <color theme="1"/>
      <name val="Times New Roman"/>
    </font>
    <font>
      <b/>
      <sz val="12"/>
      <color theme="1"/>
      <name val="Times New Roman"/>
    </font>
    <font>
      <sz val="11"/>
      <name val="Calibri"/>
    </font>
    <font>
      <b/>
      <sz val="16"/>
      <color theme="1"/>
      <name val="Times New Roman"/>
    </font>
    <font>
      <sz val="11"/>
      <color theme="1"/>
      <name val="Times New Roman"/>
    </font>
    <font>
      <sz val="14"/>
      <color theme="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D0CECE"/>
        <bgColor rgb="FFD0CECE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0">
    <xf numFmtId="0" fontId="0" fillId="0" borderId="0" xfId="0" applyFont="1" applyAlignment="1"/>
    <xf numFmtId="0" fontId="1" fillId="2" borderId="1" xfId="0" applyFont="1" applyFill="1" applyBorder="1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0" fontId="7" fillId="0" borderId="0" xfId="0" applyFont="1"/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4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8" fillId="0" borderId="0" xfId="0" applyFont="1" applyAlignment="1">
      <alignment vertical="center" wrapText="1"/>
    </xf>
    <xf numFmtId="0" fontId="4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164" fontId="4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/>
    <xf numFmtId="0" fontId="4" fillId="0" borderId="2" xfId="0" applyFont="1" applyBorder="1" applyAlignment="1">
      <alignment horizontal="right" vertical="center"/>
    </xf>
    <xf numFmtId="0" fontId="5" fillId="0" borderId="3" xfId="0" applyFont="1" applyBorder="1"/>
    <xf numFmtId="0" fontId="5" fillId="0" borderId="4" xfId="0" applyFont="1" applyBorder="1"/>
    <xf numFmtId="0" fontId="7" fillId="0" borderId="2" xfId="0" applyFont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5" fillId="0" borderId="6" xfId="0" applyFont="1" applyBorder="1"/>
    <xf numFmtId="0" fontId="5" fillId="0" borderId="7" xfId="0" applyFont="1" applyBorder="1"/>
    <xf numFmtId="0" fontId="4" fillId="6" borderId="8" xfId="0" applyFont="1" applyFill="1" applyBorder="1" applyAlignment="1">
      <alignment horizontal="center" vertical="center"/>
    </xf>
    <xf numFmtId="0" fontId="5" fillId="0" borderId="9" xfId="0" applyFont="1" applyBorder="1"/>
    <xf numFmtId="0" fontId="4" fillId="6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5" fillId="0" borderId="11" xfId="0" applyFont="1" applyBorder="1"/>
    <xf numFmtId="0" fontId="5" fillId="0" borderId="12" xfId="0" applyFont="1" applyBorder="1"/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161925</xdr:colOff>
      <xdr:row>2</xdr:row>
      <xdr:rowOff>114300</xdr:rowOff>
    </xdr:from>
    <xdr:ext cx="5648325" cy="402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648325" y="476250"/>
          <a:ext cx="5648325" cy="4029075"/>
        </a:xfrm>
        <a:prstGeom prst="rect">
          <a:avLst/>
        </a:prstGeom>
        <a:solidFill>
          <a:srgbClr val="D5DBE5"/>
        </a:solidFill>
        <a:ln w="9525" cap="flat" cmpd="sng">
          <a:solidFill>
            <a:schemeClr val="dk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u="sng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YÊU CẦU CỦA BÀI TẬP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Nhập và định dạng dữ liệu như bảng tính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1) - Tính cột Xuất như sau: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    + Nếu Mã hàng có ký tự đầu là A thì Xuất = 60% * Nhập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    + Nếu Mã hàng có ký tự đầu là B thì Xuất = 70% * Nhập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2) - Tính cột Đơn giá như sau: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    + Nếu Mã hàng có ký tự cuối là Y thì Đơn giá = 110000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    + Nếu Mã hàng có ký tự cuối là N thì Đơn giá = 135000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3) - Tính cột Tiền = Xuất * Đơn giá.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4) - Tính cột Thuế như sau: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    + Nếu Mã hàng có ký tự đầu là A và ký tự cuối là Y thì Thuế = 8% của Tiền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    + Nếu Mã hàng có ký tự đầu là A và ký tự cuối là N thì Thuế = 11% của Tiền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    + Nếu Mã hàng có ký tự đầu là B và ký tự cuối là Y thì Thuế = 17% của Tiền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    + Nếu Mã hàng có ký tự đầu là B và ký tự cuối là N thì Thuế = 22% của Tiền.</a:t>
          </a:r>
          <a:endParaRPr sz="14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466725</xdr:colOff>
      <xdr:row>2</xdr:row>
      <xdr:rowOff>47625</xdr:rowOff>
    </xdr:from>
    <xdr:ext cx="4791075" cy="26670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419975" y="390525"/>
          <a:ext cx="4791075" cy="2667000"/>
        </a:xfrm>
        <a:prstGeom prst="rect">
          <a:avLst/>
        </a:prstGeom>
        <a:solidFill>
          <a:srgbClr val="E1EFD8"/>
        </a:solidFill>
        <a:ln w="12700" cap="flat" cmpd="sng">
          <a:solidFill>
            <a:schemeClr val="accent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 i="0" u="sng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Ý NGHĨA MSNV: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- 2 Ký tự đầu: Số TT </a:t>
          </a:r>
          <a:endParaRPr sz="1200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- Ký tự thứ 3: Mã số chức vụ ( A: Giám đốc, B: Phó GĐ, C: Trưởng Phòng, D: Nhân viên)</a:t>
          </a:r>
          <a:endParaRPr sz="1200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 u="sng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YÊU CẦU:</a:t>
          </a:r>
          <a:endParaRPr sz="1200" b="1" u="sng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1. Tính cột chức vụ và phòng ban </a:t>
          </a:r>
          <a:endParaRPr sz="1200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2. Tính cột Lương CB, biết rằng Lương CB của: Giám đốc = 500000, Phó GĐ = 450000, Trưởng phòng = 400000, Nhân viên = 300000 </a:t>
          </a:r>
          <a:endParaRPr sz="1200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3. Tính lương chính, biết rằng Lương chính = Lương CB * Hệ số </a:t>
          </a:r>
          <a:endParaRPr sz="1200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4. Tính phụ cấp chức vụ ( PCCV). Biết rằng PCCV của: Giám đốc là 200000, Phó GĐ là 150000, Trưởng phòng là 100000, Nhân viên không có phụ cấp</a:t>
          </a:r>
          <a:endParaRPr sz="1200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5. Tính cột Thực lãnh, biết rằng Thực lãnh = Lương Chính + PCCV </a:t>
          </a:r>
          <a:endParaRPr sz="1200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6. Tính các ô tổng hợp</a:t>
          </a:r>
          <a:endParaRPr sz="1200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266700</xdr:colOff>
      <xdr:row>2</xdr:row>
      <xdr:rowOff>152400</xdr:rowOff>
    </xdr:from>
    <xdr:ext cx="4895850" cy="21240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2902838" y="2722725"/>
          <a:ext cx="4886325" cy="2114550"/>
        </a:xfrm>
        <a:prstGeom prst="rect">
          <a:avLst/>
        </a:prstGeom>
        <a:solidFill>
          <a:srgbClr val="DDEAF6"/>
        </a:solidFill>
        <a:ln w="12700" cap="flat" cmpd="sng">
          <a:solidFill>
            <a:schemeClr val="accent5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u="sng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YÊU CẦU CỦA BÀI TẬP: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1) - Nhập và định dạng dữ liệu như bảng tính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2) - Tính điểm LÝ THUYẾT như sau: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   LÝ THUYẾT = LT/10 nếu LT&gt;10, ngược lại LÝ THUYẾT = LT.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3) - Tính điểm THỰC HÀNH như sau: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   THỰC HÀNH = TH/10 nếu TH&gt;10, ngược lại THỰC HÀNH = TH.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3) - Tính ĐTB = (LÝ THUYẾT + THỰC HÀNH)/2.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4) - Xếp loại cho thí sinh dựa vào BẢNG XẾP LOẠI.</a:t>
          </a:r>
          <a:endParaRPr sz="1400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114300</xdr:colOff>
      <xdr:row>3</xdr:row>
      <xdr:rowOff>142875</xdr:rowOff>
    </xdr:from>
    <xdr:ext cx="4886325" cy="27813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8420100" y="657225"/>
          <a:ext cx="4886325" cy="2781300"/>
        </a:xfrm>
        <a:prstGeom prst="rect">
          <a:avLst/>
        </a:prstGeom>
        <a:solidFill>
          <a:srgbClr val="FBE4D4"/>
        </a:solidFill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u="sng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YÊU CẦU CỦA BÀI TẬP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1) - Nhập và định dạng dữ liệu như bảng tính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2) - TÊN NGÀNH: Căn cứ vào ký tự đầu của MÃ SỐ NGÀNH-ƯU TIÊN,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tra cứu trong bảng NGÀNH HỌC.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3) - CỘNG ĐIỂM = (TOÁN*2 + LÝ)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4) - ĐIỂM ƯU TIÊN: Căn cứ vào ký tự cuối của MÃ SỐ NGÀNH-ƯU TIÊN,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tra trong bảng ĐIỂM ƯU TIÊN.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5) - TỔNG CỘNG = CỘNG ĐIỂM + ĐIỂM ƯU TIÊN.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6) - KẾT QUẢ: Nếu TỔNG CỘNG &gt; 18 thì ghi Đậu, ngược lại ghi Rớt.</a:t>
          </a:r>
          <a:endParaRPr sz="1400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E2" sqref="E2:E7"/>
    </sheetView>
  </sheetViews>
  <sheetFormatPr defaultColWidth="14.42578125" defaultRowHeight="15" customHeight="1" x14ac:dyDescent="0.25"/>
  <cols>
    <col min="1" max="1" width="8.7109375" customWidth="1"/>
    <col min="2" max="2" width="18.5703125" customWidth="1"/>
    <col min="3" max="3" width="15.42578125" customWidth="1"/>
    <col min="4" max="4" width="8.7109375" customWidth="1"/>
    <col min="5" max="5" width="12.5703125" customWidth="1"/>
    <col min="6" max="6" width="10.85546875" customWidth="1"/>
    <col min="7" max="26" width="8.71093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3">
        <v>1</v>
      </c>
      <c r="B2" s="3" t="s">
        <v>6</v>
      </c>
      <c r="C2" s="3" t="s">
        <v>7</v>
      </c>
      <c r="D2" s="3" t="str">
        <f>RIGHT(C2,3)</f>
        <v>12A</v>
      </c>
      <c r="E2" s="3" t="str">
        <f>LEFT(C2,4)</f>
        <v>1604</v>
      </c>
      <c r="F2" s="3" t="str">
        <f>MID(C2,5,4)</f>
        <v>QTKD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3">
        <v>2</v>
      </c>
      <c r="B3" s="3" t="s">
        <v>8</v>
      </c>
      <c r="C3" s="3" t="s">
        <v>9</v>
      </c>
      <c r="D3" s="3" t="str">
        <f t="shared" ref="D3:D7" si="0">RIGHT(C3,3)</f>
        <v>12A</v>
      </c>
      <c r="E3" s="3" t="str">
        <f t="shared" ref="E3:E7" si="1">LEFT(C3,4)</f>
        <v>1605</v>
      </c>
      <c r="F3" s="3" t="str">
        <f t="shared" ref="F3:F7" si="2">MID(C3,5,4)</f>
        <v>QTKD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>
        <v>3</v>
      </c>
      <c r="B4" s="3" t="s">
        <v>10</v>
      </c>
      <c r="C4" s="3" t="s">
        <v>11</v>
      </c>
      <c r="D4" s="3" t="str">
        <f t="shared" si="0"/>
        <v>12C</v>
      </c>
      <c r="E4" s="3" t="str">
        <f t="shared" si="1"/>
        <v>1606</v>
      </c>
      <c r="F4" s="3" t="str">
        <f t="shared" si="2"/>
        <v>TCNH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3">
        <v>4</v>
      </c>
      <c r="B5" s="3" t="s">
        <v>12</v>
      </c>
      <c r="C5" s="3" t="s">
        <v>13</v>
      </c>
      <c r="D5" s="3" t="str">
        <f t="shared" si="0"/>
        <v>12B</v>
      </c>
      <c r="E5" s="3" t="str">
        <f t="shared" si="1"/>
        <v>1614</v>
      </c>
      <c r="F5" s="3" t="str">
        <f t="shared" si="2"/>
        <v>QTKD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3">
        <v>5</v>
      </c>
      <c r="B6" s="3" t="s">
        <v>14</v>
      </c>
      <c r="C6" s="3" t="s">
        <v>15</v>
      </c>
      <c r="D6" s="3" t="str">
        <f t="shared" si="0"/>
        <v>12B</v>
      </c>
      <c r="E6" s="3" t="str">
        <f t="shared" si="1"/>
        <v>1616</v>
      </c>
      <c r="F6" s="3" t="str">
        <f t="shared" si="2"/>
        <v>QTKD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3">
        <v>6</v>
      </c>
      <c r="B7" s="3" t="s">
        <v>16</v>
      </c>
      <c r="C7" s="3" t="s">
        <v>17</v>
      </c>
      <c r="D7" s="3" t="str">
        <f t="shared" si="0"/>
        <v>12D</v>
      </c>
      <c r="E7" s="3" t="str">
        <f t="shared" si="1"/>
        <v>1618</v>
      </c>
      <c r="F7" s="3" t="str">
        <f t="shared" si="2"/>
        <v>KDQT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4" t="s">
        <v>18</v>
      </c>
      <c r="B9" s="4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" t="s">
        <v>19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 t="s">
        <v>20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 t="s">
        <v>21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" t="s">
        <v>22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topLeftCell="A2" workbookViewId="0">
      <selection activeCell="C5" sqref="C5"/>
    </sheetView>
  </sheetViews>
  <sheetFormatPr defaultColWidth="14.42578125" defaultRowHeight="15" customHeight="1" x14ac:dyDescent="0.25"/>
  <cols>
    <col min="1" max="1" width="14.28515625" customWidth="1"/>
    <col min="2" max="2" width="14.5703125" customWidth="1"/>
    <col min="3" max="3" width="13.5703125" customWidth="1"/>
    <col min="4" max="4" width="15.5703125" customWidth="1"/>
    <col min="5" max="5" width="11.5703125" customWidth="1"/>
    <col min="6" max="6" width="12.7109375" customWidth="1"/>
    <col min="7" max="26" width="8.7109375" customWidth="1"/>
  </cols>
  <sheetData>
    <row r="1" spans="1:6" ht="14.25" customHeight="1" x14ac:dyDescent="0.25"/>
    <row r="2" spans="1:6" ht="14.25" customHeight="1" x14ac:dyDescent="0.25"/>
    <row r="3" spans="1:6" ht="14.25" customHeight="1" x14ac:dyDescent="0.25">
      <c r="A3" s="39" t="s">
        <v>23</v>
      </c>
      <c r="B3" s="40"/>
      <c r="C3" s="40"/>
      <c r="D3" s="40"/>
      <c r="E3" s="40"/>
      <c r="F3" s="40"/>
    </row>
    <row r="4" spans="1:6" ht="14.25" customHeight="1" x14ac:dyDescent="0.25">
      <c r="A4" s="5" t="s">
        <v>24</v>
      </c>
      <c r="B4" s="5" t="s">
        <v>25</v>
      </c>
      <c r="C4" s="5" t="s">
        <v>26</v>
      </c>
      <c r="D4" s="5" t="s">
        <v>27</v>
      </c>
      <c r="E4" s="5" t="s">
        <v>28</v>
      </c>
      <c r="F4" s="5" t="s">
        <v>29</v>
      </c>
    </row>
    <row r="5" spans="1:6" ht="14.25" customHeight="1" x14ac:dyDescent="0.25">
      <c r="A5" s="6" t="s">
        <v>30</v>
      </c>
      <c r="B5" s="7">
        <v>1000</v>
      </c>
      <c r="C5" s="8"/>
      <c r="D5" s="9"/>
      <c r="E5" s="9"/>
      <c r="F5" s="9"/>
    </row>
    <row r="6" spans="1:6" ht="14.25" customHeight="1" x14ac:dyDescent="0.25">
      <c r="A6" s="6" t="s">
        <v>31</v>
      </c>
      <c r="B6" s="7">
        <v>2500</v>
      </c>
      <c r="C6" s="8"/>
      <c r="D6" s="9"/>
      <c r="E6" s="9"/>
      <c r="F6" s="9"/>
    </row>
    <row r="7" spans="1:6" ht="14.25" customHeight="1" x14ac:dyDescent="0.25">
      <c r="A7" s="6" t="s">
        <v>32</v>
      </c>
      <c r="B7" s="7">
        <v>4582</v>
      </c>
      <c r="C7" s="8"/>
      <c r="D7" s="9"/>
      <c r="E7" s="9"/>
      <c r="F7" s="9"/>
    </row>
    <row r="8" spans="1:6" ht="14.25" customHeight="1" x14ac:dyDescent="0.25">
      <c r="A8" s="10" t="s">
        <v>33</v>
      </c>
      <c r="B8" s="11">
        <v>1400</v>
      </c>
      <c r="C8" s="8"/>
      <c r="D8" s="9"/>
      <c r="E8" s="9"/>
      <c r="F8" s="9"/>
    </row>
    <row r="9" spans="1:6" ht="14.25" customHeight="1" x14ac:dyDescent="0.25">
      <c r="A9" s="10" t="s">
        <v>34</v>
      </c>
      <c r="B9" s="11">
        <v>1650</v>
      </c>
      <c r="C9" s="8"/>
      <c r="D9" s="9"/>
      <c r="E9" s="9"/>
      <c r="F9" s="9"/>
    </row>
    <row r="10" spans="1:6" ht="14.25" customHeight="1" x14ac:dyDescent="0.25">
      <c r="A10" s="11" t="s">
        <v>35</v>
      </c>
      <c r="B10" s="11">
        <v>1200</v>
      </c>
      <c r="C10" s="8"/>
      <c r="D10" s="9"/>
      <c r="E10" s="9"/>
      <c r="F10" s="9"/>
    </row>
    <row r="11" spans="1:6" ht="14.25" customHeight="1" x14ac:dyDescent="0.25">
      <c r="A11" s="11" t="s">
        <v>36</v>
      </c>
      <c r="B11" s="11">
        <v>1100</v>
      </c>
      <c r="C11" s="8"/>
      <c r="D11" s="9"/>
      <c r="E11" s="9"/>
      <c r="F11" s="9"/>
    </row>
    <row r="12" spans="1:6" ht="14.25" customHeight="1" x14ac:dyDescent="0.25">
      <c r="A12" s="41" t="s">
        <v>37</v>
      </c>
      <c r="B12" s="42"/>
      <c r="C12" s="42"/>
      <c r="D12" s="43"/>
      <c r="E12" s="12"/>
      <c r="F12" s="12"/>
    </row>
    <row r="13" spans="1:6" ht="14.25" customHeight="1" x14ac:dyDescent="0.25"/>
    <row r="14" spans="1:6" ht="14.25" customHeight="1" x14ac:dyDescent="0.25"/>
    <row r="15" spans="1:6" ht="14.25" customHeight="1" x14ac:dyDescent="0.25"/>
    <row r="16" spans="1: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">
    <mergeCell ref="A3:F3"/>
    <mergeCell ref="A12:D12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I15" sqref="I15"/>
    </sheetView>
  </sheetViews>
  <sheetFormatPr defaultColWidth="14.42578125" defaultRowHeight="15" customHeight="1" x14ac:dyDescent="0.25"/>
  <cols>
    <col min="1" max="2" width="10.42578125" customWidth="1"/>
    <col min="3" max="3" width="13.140625" customWidth="1"/>
    <col min="4" max="4" width="19.28515625" customWidth="1"/>
    <col min="5" max="5" width="17.7109375" customWidth="1"/>
    <col min="6" max="6" width="16.42578125" customWidth="1"/>
    <col min="7" max="8" width="17.7109375" customWidth="1"/>
    <col min="9" max="9" width="12.140625" customWidth="1"/>
    <col min="10" max="26" width="10.42578125" customWidth="1"/>
  </cols>
  <sheetData>
    <row r="1" spans="1:26" ht="13.5" customHeight="1" x14ac:dyDescent="0.3">
      <c r="A1" s="45" t="s">
        <v>38</v>
      </c>
      <c r="B1" s="46"/>
      <c r="C1" s="46"/>
      <c r="D1" s="46"/>
      <c r="E1" s="46"/>
      <c r="F1" s="46"/>
      <c r="G1" s="46"/>
      <c r="H1" s="46"/>
      <c r="I1" s="47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3.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3.5" customHeight="1" x14ac:dyDescent="0.25">
      <c r="A3" s="14" t="s">
        <v>39</v>
      </c>
      <c r="B3" s="14" t="s">
        <v>40</v>
      </c>
      <c r="C3" s="14" t="s">
        <v>41</v>
      </c>
      <c r="D3" s="15" t="s">
        <v>42</v>
      </c>
      <c r="E3" s="15" t="s">
        <v>43</v>
      </c>
      <c r="F3" s="14" t="s">
        <v>44</v>
      </c>
      <c r="G3" s="15" t="s">
        <v>45</v>
      </c>
      <c r="H3" s="15" t="s">
        <v>46</v>
      </c>
      <c r="I3" s="15" t="s">
        <v>47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3.5" customHeight="1" x14ac:dyDescent="0.25">
      <c r="A4" s="16" t="s">
        <v>48</v>
      </c>
      <c r="B4" s="16" t="s">
        <v>49</v>
      </c>
      <c r="C4" s="16" t="str">
        <f>IF(MID(A4,3,1)="A","GIÁM ĐỐC",IF(MID(A4,3,1)="B","Phó GĐ",IF(MID(A4,3,1)="C","Trưởng Phòng",IF(MID(A4,3,1)="D","Nhân viên"))))</f>
        <v>GIÁM ĐỐC</v>
      </c>
      <c r="D4" s="17"/>
      <c r="E4" s="16">
        <f>IF(C4="GIÁM ĐỐC",500000,IF(C4="PHÓ GĐ",450000,IF(C4="TRƯỞNG PHÒNG",400000,IF(C4="NHÂN VIÊN",300000))))</f>
        <v>500000</v>
      </c>
      <c r="F4" s="16">
        <v>5.2</v>
      </c>
      <c r="G4" s="16">
        <f>E4*F4</f>
        <v>2600000</v>
      </c>
      <c r="H4" s="16">
        <f>IF(C4="GIÁM ĐỐC",200000,IF(C4="PHÓ GĐ",150000,IF(C4="TRƯỞNG PHÒNG",100000,0)))</f>
        <v>200000</v>
      </c>
      <c r="I4" s="16">
        <f>(G4+H4)</f>
        <v>2800000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3.5" customHeight="1" x14ac:dyDescent="0.25">
      <c r="A5" s="16" t="s">
        <v>50</v>
      </c>
      <c r="B5" s="16" t="s">
        <v>51</v>
      </c>
      <c r="C5" s="16" t="str">
        <f t="shared" ref="C5:C14" si="0">IF(MID(A5,3,1)="A","GIÁM ĐỐC",IF(MID(A5,3,1)="B","Phó GĐ",IF(MID(A5,3,1)="C","Trưởng Phòng",IF(MID(A5,3,1)="D","Nhân viên"))))</f>
        <v>Trưởng Phòng</v>
      </c>
      <c r="D5" s="16"/>
      <c r="E5" s="16">
        <f t="shared" ref="E5:E14" si="1">IF(C5="GIÁM ĐỐC",500000,IF(C5="PHÓ GĐ",450000,IF(C5="TRƯỞNG PHÒNG",400000,IF(C5="NHÂN VIÊN",300000))))</f>
        <v>400000</v>
      </c>
      <c r="F5" s="16">
        <v>4.5</v>
      </c>
      <c r="G5" s="16">
        <f t="shared" ref="G5:G14" si="2">E5*F5</f>
        <v>1800000</v>
      </c>
      <c r="H5" s="16">
        <f t="shared" ref="H5:H14" si="3">IF(C5="GIÁM ĐỐC",200000,IF(C5="PHÓ GĐ",150000,IF(C5="TRƯỞNG PHÒNG",100000,0)))</f>
        <v>100000</v>
      </c>
      <c r="I5" s="16">
        <f t="shared" ref="I5:I14" si="4">(G5+H5)</f>
        <v>1900000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3.5" customHeight="1" x14ac:dyDescent="0.25">
      <c r="A6" s="16" t="s">
        <v>52</v>
      </c>
      <c r="B6" s="16" t="s">
        <v>53</v>
      </c>
      <c r="C6" s="16" t="str">
        <f t="shared" si="0"/>
        <v>Phó GĐ</v>
      </c>
      <c r="D6" s="16"/>
      <c r="E6" s="16">
        <f t="shared" si="1"/>
        <v>450000</v>
      </c>
      <c r="F6" s="16">
        <v>4.8</v>
      </c>
      <c r="G6" s="16">
        <f t="shared" si="2"/>
        <v>2160000</v>
      </c>
      <c r="H6" s="16">
        <f t="shared" si="3"/>
        <v>150000</v>
      </c>
      <c r="I6" s="16">
        <f t="shared" si="4"/>
        <v>2310000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3.5" customHeight="1" x14ac:dyDescent="0.25">
      <c r="A7" s="16" t="s">
        <v>54</v>
      </c>
      <c r="B7" s="16" t="s">
        <v>55</v>
      </c>
      <c r="C7" s="16" t="str">
        <f t="shared" si="0"/>
        <v>Nhân viên</v>
      </c>
      <c r="D7" s="16"/>
      <c r="E7" s="16">
        <f t="shared" si="1"/>
        <v>300000</v>
      </c>
      <c r="F7" s="16">
        <v>3.5</v>
      </c>
      <c r="G7" s="16">
        <f t="shared" si="2"/>
        <v>1050000</v>
      </c>
      <c r="H7" s="16">
        <f t="shared" si="3"/>
        <v>0</v>
      </c>
      <c r="I7" s="16">
        <f t="shared" si="4"/>
        <v>1050000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3.5" customHeight="1" x14ac:dyDescent="0.25">
      <c r="A8" s="16" t="s">
        <v>56</v>
      </c>
      <c r="B8" s="16" t="s">
        <v>57</v>
      </c>
      <c r="C8" s="16" t="str">
        <f t="shared" si="0"/>
        <v>Nhân viên</v>
      </c>
      <c r="D8" s="16"/>
      <c r="E8" s="16">
        <f t="shared" si="1"/>
        <v>300000</v>
      </c>
      <c r="F8" s="16">
        <v>2.9</v>
      </c>
      <c r="G8" s="16">
        <f t="shared" si="2"/>
        <v>870000</v>
      </c>
      <c r="H8" s="16">
        <f t="shared" si="3"/>
        <v>0</v>
      </c>
      <c r="I8" s="16">
        <f t="shared" si="4"/>
        <v>870000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3.5" customHeight="1" x14ac:dyDescent="0.25">
      <c r="A9" s="16" t="s">
        <v>58</v>
      </c>
      <c r="B9" s="16" t="s">
        <v>59</v>
      </c>
      <c r="C9" s="16" t="str">
        <f t="shared" si="0"/>
        <v>Trưởng Phòng</v>
      </c>
      <c r="D9" s="16"/>
      <c r="E9" s="16">
        <f t="shared" si="1"/>
        <v>400000</v>
      </c>
      <c r="F9" s="16">
        <v>4.5999999999999996</v>
      </c>
      <c r="G9" s="16">
        <f t="shared" si="2"/>
        <v>1839999.9999999998</v>
      </c>
      <c r="H9" s="16">
        <f t="shared" si="3"/>
        <v>100000</v>
      </c>
      <c r="I9" s="16">
        <f t="shared" si="4"/>
        <v>1939999.9999999998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3.5" customHeight="1" x14ac:dyDescent="0.25">
      <c r="A10" s="16" t="s">
        <v>60</v>
      </c>
      <c r="B10" s="16" t="s">
        <v>61</v>
      </c>
      <c r="C10" s="16" t="str">
        <f t="shared" si="0"/>
        <v>Nhân viên</v>
      </c>
      <c r="D10" s="16"/>
      <c r="E10" s="16">
        <f t="shared" si="1"/>
        <v>300000</v>
      </c>
      <c r="F10" s="16">
        <v>3.4</v>
      </c>
      <c r="G10" s="16">
        <f t="shared" si="2"/>
        <v>1020000</v>
      </c>
      <c r="H10" s="16">
        <f t="shared" si="3"/>
        <v>0</v>
      </c>
      <c r="I10" s="16">
        <f t="shared" si="4"/>
        <v>1020000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3.5" customHeight="1" x14ac:dyDescent="0.25">
      <c r="A11" s="16" t="s">
        <v>62</v>
      </c>
      <c r="B11" s="16" t="s">
        <v>63</v>
      </c>
      <c r="C11" s="16" t="str">
        <f t="shared" si="0"/>
        <v>Nhân viên</v>
      </c>
      <c r="D11" s="16"/>
      <c r="E11" s="16">
        <f t="shared" si="1"/>
        <v>300000</v>
      </c>
      <c r="F11" s="16">
        <v>2.5</v>
      </c>
      <c r="G11" s="16">
        <f t="shared" si="2"/>
        <v>750000</v>
      </c>
      <c r="H11" s="16">
        <f t="shared" si="3"/>
        <v>0</v>
      </c>
      <c r="I11" s="16">
        <f t="shared" si="4"/>
        <v>750000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3.5" customHeight="1" x14ac:dyDescent="0.25">
      <c r="A12" s="16" t="s">
        <v>64</v>
      </c>
      <c r="B12" s="16" t="s">
        <v>65</v>
      </c>
      <c r="C12" s="16" t="str">
        <f t="shared" si="0"/>
        <v>Nhân viên</v>
      </c>
      <c r="D12" s="16"/>
      <c r="E12" s="16">
        <f t="shared" si="1"/>
        <v>300000</v>
      </c>
      <c r="F12" s="16">
        <v>2.4</v>
      </c>
      <c r="G12" s="16">
        <f t="shared" si="2"/>
        <v>720000</v>
      </c>
      <c r="H12" s="16">
        <f t="shared" si="3"/>
        <v>0</v>
      </c>
      <c r="I12" s="16">
        <f t="shared" si="4"/>
        <v>720000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3.5" customHeight="1" x14ac:dyDescent="0.25">
      <c r="A13" s="16" t="s">
        <v>66</v>
      </c>
      <c r="B13" s="16" t="s">
        <v>67</v>
      </c>
      <c r="C13" s="16" t="str">
        <f t="shared" si="0"/>
        <v>Nhân viên</v>
      </c>
      <c r="D13" s="16"/>
      <c r="E13" s="16">
        <f t="shared" si="1"/>
        <v>300000</v>
      </c>
      <c r="F13" s="16">
        <v>3.7</v>
      </c>
      <c r="G13" s="16">
        <f t="shared" si="2"/>
        <v>1110000</v>
      </c>
      <c r="H13" s="16">
        <f t="shared" si="3"/>
        <v>0</v>
      </c>
      <c r="I13" s="16">
        <f t="shared" si="4"/>
        <v>1110000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3.5" customHeight="1" x14ac:dyDescent="0.25">
      <c r="A14" s="16" t="s">
        <v>68</v>
      </c>
      <c r="B14" s="16" t="s">
        <v>69</v>
      </c>
      <c r="C14" s="16" t="str">
        <f t="shared" si="0"/>
        <v>Nhân viên</v>
      </c>
      <c r="D14" s="16"/>
      <c r="E14" s="16">
        <f t="shared" si="1"/>
        <v>300000</v>
      </c>
      <c r="F14" s="16">
        <v>3.1</v>
      </c>
      <c r="G14" s="16">
        <f t="shared" si="2"/>
        <v>930000</v>
      </c>
      <c r="H14" s="16">
        <f t="shared" si="3"/>
        <v>0</v>
      </c>
      <c r="I14" s="16">
        <f>(G14+H14)</f>
        <v>930000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3.5" customHeight="1" x14ac:dyDescent="0.25">
      <c r="A15" s="44" t="s">
        <v>70</v>
      </c>
      <c r="B15" s="42"/>
      <c r="C15" s="43"/>
      <c r="D15" s="16"/>
      <c r="E15" s="13"/>
      <c r="F15" s="44" t="s">
        <v>71</v>
      </c>
      <c r="G15" s="42"/>
      <c r="H15" s="43"/>
      <c r="I15" s="16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3.5" customHeight="1" x14ac:dyDescent="0.25">
      <c r="A16" s="44" t="s">
        <v>72</v>
      </c>
      <c r="B16" s="42"/>
      <c r="C16" s="43"/>
      <c r="D16" s="16"/>
      <c r="E16" s="13"/>
      <c r="F16" s="44" t="s">
        <v>73</v>
      </c>
      <c r="G16" s="42"/>
      <c r="H16" s="43"/>
      <c r="I16" s="16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3.5" customHeight="1" x14ac:dyDescent="0.25">
      <c r="A17" s="44" t="s">
        <v>74</v>
      </c>
      <c r="B17" s="42"/>
      <c r="C17" s="43"/>
      <c r="D17" s="16"/>
      <c r="E17" s="13"/>
      <c r="F17" s="44" t="s">
        <v>75</v>
      </c>
      <c r="G17" s="42"/>
      <c r="H17" s="43"/>
      <c r="I17" s="16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3.5" customHeight="1" x14ac:dyDescent="0.25">
      <c r="A18" s="44" t="s">
        <v>76</v>
      </c>
      <c r="B18" s="42"/>
      <c r="C18" s="43"/>
      <c r="D18" s="16"/>
      <c r="E18" s="13"/>
      <c r="F18" s="44" t="s">
        <v>77</v>
      </c>
      <c r="G18" s="42"/>
      <c r="H18" s="43"/>
      <c r="I18" s="16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3.5" customHeight="1" x14ac:dyDescent="0.25">
      <c r="A19" s="13"/>
      <c r="B19" s="13"/>
      <c r="C19" s="13"/>
      <c r="D19" s="13"/>
      <c r="E19" s="13"/>
      <c r="F19" s="44" t="s">
        <v>78</v>
      </c>
      <c r="G19" s="42"/>
      <c r="H19" s="43"/>
      <c r="I19" s="16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3.5" customHeight="1" x14ac:dyDescent="0.25">
      <c r="A20" s="13"/>
      <c r="B20" s="13"/>
      <c r="C20" s="13"/>
      <c r="D20" s="13"/>
      <c r="E20" s="13"/>
      <c r="F20" s="44" t="s">
        <v>79</v>
      </c>
      <c r="G20" s="42"/>
      <c r="H20" s="43"/>
      <c r="I20" s="16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3.5" customHeight="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3.5" customHeight="1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3.5" customHeight="1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3.5" customHeight="1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3.5" customHeight="1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3.5" customHeight="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3.5" customHeight="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3.5" customHeight="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3.5" customHeight="1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3.5" customHeight="1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3.5" customHeight="1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3.5" customHeight="1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3.5" customHeight="1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3.5" customHeight="1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3.5" customHeight="1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3.5" customHeight="1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3.5" customHeight="1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3.5" customHeight="1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3.5" customHeight="1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3.5" customHeight="1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3.5" customHeight="1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3.5" customHeight="1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3.5" customHeight="1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3.5" customHeight="1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3.5" customHeight="1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3.5" customHeight="1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3.5" customHeight="1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3.5" customHeight="1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3.5" customHeight="1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3.5" customHeight="1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3.5" customHeight="1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3.5" customHeight="1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3.5" customHeight="1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3.5" customHeight="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3.5" customHeight="1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3.5" customHeight="1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3.5" customHeight="1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3.5" customHeight="1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3.5" customHeigh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3.5" customHeight="1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3.5" customHeight="1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3.5" customHeight="1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3.5" customHeight="1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3.5" customHeight="1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3.5" customHeight="1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3.5" customHeight="1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3.5" customHeight="1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3.5" customHeight="1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3.5" customHeight="1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3.5" customHeight="1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3.5" customHeight="1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3.5" customHeight="1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3.5" customHeight="1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3.5" customHeight="1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3.5" customHeight="1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3.5" customHeight="1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3.5" customHeight="1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3.5" customHeight="1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3.5" customHeight="1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3.5" customHeight="1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3.5" customHeight="1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3.5" customHeight="1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3.5" customHeight="1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3.5" customHeight="1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3.5" customHeight="1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3.5" customHeight="1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3.5" customHeight="1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3.5" customHeight="1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3.5" customHeight="1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3.5" customHeight="1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3.5" customHeight="1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3.5" customHeight="1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3.5" customHeight="1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3.5" customHeight="1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3.5" customHeight="1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3.5" customHeight="1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3.5" customHeight="1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3.5" customHeight="1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3.5" customHeight="1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3.5" customHeight="1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3.5" customHeight="1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3.5" customHeight="1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3.5" customHeight="1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3.5" customHeight="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3.5" customHeight="1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3.5" customHeight="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3.5" customHeight="1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3.5" customHeight="1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3.5" customHeight="1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3.5" customHeight="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3.5" customHeight="1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3.5" customHeight="1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3.5" customHeight="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3.5" customHeight="1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3.5" customHeight="1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3.5" customHeight="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3.5" customHeight="1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3.5" customHeight="1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3.5" customHeight="1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3.5" customHeight="1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3.5" customHeight="1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3.5" customHeight="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3.5" customHeight="1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3.5" customHeight="1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3.5" customHeight="1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3.5" customHeight="1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3.5" customHeight="1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3.5" customHeight="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3.5" customHeight="1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3.5" customHeight="1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3.5" customHeight="1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3.5" customHeight="1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3.5" customHeight="1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3.5" customHeight="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3.5" customHeight="1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3.5" customHeight="1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3.5" customHeight="1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3.5" customHeight="1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3.5" customHeight="1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3.5" customHeight="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3.5" customHeight="1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3.5" customHeight="1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3.5" customHeight="1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3.5" customHeight="1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3.5" customHeight="1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3.5" customHeight="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3.5" customHeight="1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3.5" customHeight="1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3.5" customHeight="1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3.5" customHeight="1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3.5" customHeight="1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3.5" customHeight="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3.5" customHeight="1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3.5" customHeight="1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3.5" customHeight="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3.5" customHeight="1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3.5" customHeight="1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3.5" customHeight="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3.5" customHeight="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3.5" customHeight="1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3.5" customHeight="1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3.5" customHeight="1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3.5" customHeight="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3.5" customHeight="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3.5" customHeight="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3.5" customHeight="1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3.5" customHeight="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3.5" customHeight="1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3.5" customHeight="1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3.5" customHeight="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3.5" customHeight="1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3.5" customHeight="1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3.5" customHeight="1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3.5" customHeight="1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3.5" customHeight="1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3.5" customHeight="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3.5" customHeight="1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3.5" customHeight="1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3.5" customHeight="1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3.5" customHeight="1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3.5" customHeight="1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3.5" customHeight="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3.5" customHeight="1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3.5" customHeight="1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3.5" customHeight="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3.5" customHeight="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3.5" customHeight="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3.5" customHeight="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3.5" customHeight="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3.5" customHeight="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3.5" customHeight="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3.5" customHeight="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3.5" customHeight="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3.5" customHeight="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3.5" customHeight="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3.5" customHeight="1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3.5" customHeight="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3.5" customHeight="1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3.5" customHeight="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3.5" customHeight="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3.5" customHeight="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3.5" customHeight="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3.5" customHeight="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3.5" customHeight="1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3.5" customHeight="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3.5" customHeight="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3.5" customHeight="1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3.5" customHeight="1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3.5" customHeight="1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3.5" customHeight="1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3.5" customHeight="1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3.5" customHeight="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3.5" customHeight="1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3.5" customHeight="1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3.5" customHeight="1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3.5" customHeight="1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3.5" customHeight="1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3.5" customHeight="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3.5" customHeight="1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3.5" customHeight="1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3.5" customHeight="1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3.5" customHeight="1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3.5" customHeight="1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3.5" customHeight="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3.5" customHeight="1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3.5" customHeight="1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3.5" customHeight="1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3.5" customHeight="1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3.5" customHeight="1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3.5" customHeight="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3.5" customHeight="1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3.5" customHeight="1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3.5" customHeight="1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3.5" customHeight="1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3.5" customHeight="1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3.5" customHeight="1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3.5" customHeight="1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3.5" customHeight="1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3.5" customHeight="1" x14ac:dyDescent="0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3.5" customHeight="1" x14ac:dyDescent="0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3.5" customHeight="1" x14ac:dyDescent="0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3.5" customHeight="1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3.5" customHeight="1" x14ac:dyDescent="0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3.5" customHeight="1" x14ac:dyDescent="0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3.5" customHeight="1" x14ac:dyDescent="0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3.5" customHeight="1" x14ac:dyDescent="0.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3.5" customHeight="1" x14ac:dyDescent="0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3.5" customHeight="1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3.5" customHeight="1" x14ac:dyDescent="0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3.5" customHeight="1" x14ac:dyDescent="0.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3.5" customHeight="1" x14ac:dyDescent="0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3.5" customHeight="1" x14ac:dyDescent="0.2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3.5" customHeight="1" x14ac:dyDescent="0.2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3.5" customHeight="1" x14ac:dyDescent="0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3.5" customHeight="1" x14ac:dyDescent="0.2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3.5" customHeight="1" x14ac:dyDescent="0.2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3.5" customHeight="1" x14ac:dyDescent="0.2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3.5" customHeight="1" x14ac:dyDescent="0.2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3.5" customHeight="1" x14ac:dyDescent="0.2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3.5" customHeight="1" x14ac:dyDescent="0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3.5" customHeight="1" x14ac:dyDescent="0.2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3.5" customHeight="1" x14ac:dyDescent="0.2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3.5" customHeight="1" x14ac:dyDescent="0.2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3.5" customHeight="1" x14ac:dyDescent="0.2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3.5" customHeight="1" x14ac:dyDescent="0.2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3.5" customHeight="1" x14ac:dyDescent="0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3.5" customHeight="1" x14ac:dyDescent="0.2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3.5" customHeight="1" x14ac:dyDescent="0.2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3.5" customHeight="1" x14ac:dyDescent="0.2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3.5" customHeight="1" x14ac:dyDescent="0.2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3.5" customHeight="1" x14ac:dyDescent="0.2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3.5" customHeight="1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3.5" customHeight="1" x14ac:dyDescent="0.2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3.5" customHeight="1" x14ac:dyDescent="0.2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3.5" customHeight="1" x14ac:dyDescent="0.2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3.5" customHeight="1" x14ac:dyDescent="0.2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3.5" customHeight="1" x14ac:dyDescent="0.2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3.5" customHeight="1" x14ac:dyDescent="0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3.5" customHeight="1" x14ac:dyDescent="0.2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3.5" customHeight="1" x14ac:dyDescent="0.2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3.5" customHeight="1" x14ac:dyDescent="0.2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3.5" customHeight="1" x14ac:dyDescent="0.2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3.5" customHeight="1" x14ac:dyDescent="0.2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3.5" customHeight="1" x14ac:dyDescent="0.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3.5" customHeight="1" x14ac:dyDescent="0.2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3.5" customHeight="1" x14ac:dyDescent="0.2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3.5" customHeight="1" x14ac:dyDescent="0.2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3.5" customHeight="1" x14ac:dyDescent="0.2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3.5" customHeight="1" x14ac:dyDescent="0.2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3.5" customHeight="1" x14ac:dyDescent="0.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3.5" customHeight="1" x14ac:dyDescent="0.2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3.5" customHeight="1" x14ac:dyDescent="0.2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3.5" customHeight="1" x14ac:dyDescent="0.2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3.5" customHeight="1" x14ac:dyDescent="0.2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3.5" customHeight="1" x14ac:dyDescent="0.2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3.5" customHeight="1" x14ac:dyDescent="0.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3.5" customHeight="1" x14ac:dyDescent="0.2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3.5" customHeight="1" x14ac:dyDescent="0.2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3.5" customHeight="1" x14ac:dyDescent="0.2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3.5" customHeight="1" x14ac:dyDescent="0.2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3.5" customHeight="1" x14ac:dyDescent="0.2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3.5" customHeight="1" x14ac:dyDescent="0.2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3.5" customHeight="1" x14ac:dyDescent="0.2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3.5" customHeight="1" x14ac:dyDescent="0.2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3.5" customHeight="1" x14ac:dyDescent="0.2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3.5" customHeight="1" x14ac:dyDescent="0.2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3.5" customHeight="1" x14ac:dyDescent="0.2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3.5" customHeight="1" x14ac:dyDescent="0.2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3.5" customHeight="1" x14ac:dyDescent="0.2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3.5" customHeight="1" x14ac:dyDescent="0.2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3.5" customHeight="1" x14ac:dyDescent="0.2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3.5" customHeight="1" x14ac:dyDescent="0.2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3.5" customHeight="1" x14ac:dyDescent="0.2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3.5" customHeight="1" x14ac:dyDescent="0.2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3.5" customHeight="1" x14ac:dyDescent="0.2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3.5" customHeight="1" x14ac:dyDescent="0.2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3.5" customHeight="1" x14ac:dyDescent="0.2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3.5" customHeight="1" x14ac:dyDescent="0.2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3.5" customHeight="1" x14ac:dyDescent="0.2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3.5" customHeight="1" x14ac:dyDescent="0.2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3.5" customHeight="1" x14ac:dyDescent="0.2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3.5" customHeight="1" x14ac:dyDescent="0.2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3.5" customHeight="1" x14ac:dyDescent="0.2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3.5" customHeight="1" x14ac:dyDescent="0.2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3.5" customHeight="1" x14ac:dyDescent="0.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3.5" customHeight="1" x14ac:dyDescent="0.2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3.5" customHeight="1" x14ac:dyDescent="0.2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3.5" customHeight="1" x14ac:dyDescent="0.2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3.5" customHeight="1" x14ac:dyDescent="0.2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3.5" customHeight="1" x14ac:dyDescent="0.2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3.5" customHeight="1" x14ac:dyDescent="0.2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3.5" customHeight="1" x14ac:dyDescent="0.2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3.5" customHeight="1" x14ac:dyDescent="0.2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3.5" customHeight="1" x14ac:dyDescent="0.2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3.5" customHeight="1" x14ac:dyDescent="0.2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3.5" customHeight="1" x14ac:dyDescent="0.2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3.5" customHeight="1" x14ac:dyDescent="0.2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3.5" customHeight="1" x14ac:dyDescent="0.2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3.5" customHeight="1" x14ac:dyDescent="0.2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3.5" customHeight="1" x14ac:dyDescent="0.2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3.5" customHeight="1" x14ac:dyDescent="0.2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3.5" customHeight="1" x14ac:dyDescent="0.2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3.5" customHeight="1" x14ac:dyDescent="0.2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3.5" customHeight="1" x14ac:dyDescent="0.2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3.5" customHeight="1" x14ac:dyDescent="0.2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3.5" customHeight="1" x14ac:dyDescent="0.2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3.5" customHeight="1" x14ac:dyDescent="0.2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3.5" customHeight="1" x14ac:dyDescent="0.2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3.5" customHeight="1" x14ac:dyDescent="0.2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3.5" customHeight="1" x14ac:dyDescent="0.2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3.5" customHeight="1" x14ac:dyDescent="0.2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3.5" customHeight="1" x14ac:dyDescent="0.2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3.5" customHeight="1" x14ac:dyDescent="0.2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3.5" customHeight="1" x14ac:dyDescent="0.2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3.5" customHeight="1" x14ac:dyDescent="0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3.5" customHeight="1" x14ac:dyDescent="0.2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3.5" customHeight="1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3.5" customHeight="1" x14ac:dyDescent="0.2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3.5" customHeight="1" x14ac:dyDescent="0.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3.5" customHeight="1" x14ac:dyDescent="0.2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3.5" customHeight="1" x14ac:dyDescent="0.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3.5" customHeight="1" x14ac:dyDescent="0.2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3.5" customHeight="1" x14ac:dyDescent="0.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3.5" customHeight="1" x14ac:dyDescent="0.2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3.5" customHeight="1" x14ac:dyDescent="0.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3.5" customHeight="1" x14ac:dyDescent="0.2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3.5" customHeight="1" x14ac:dyDescent="0.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3.5" customHeight="1" x14ac:dyDescent="0.2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3.5" customHeight="1" x14ac:dyDescent="0.2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3.5" customHeight="1" x14ac:dyDescent="0.2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3.5" customHeight="1" x14ac:dyDescent="0.2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3.5" customHeight="1" x14ac:dyDescent="0.2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3.5" customHeight="1" x14ac:dyDescent="0.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3.5" customHeight="1" x14ac:dyDescent="0.2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3.5" customHeight="1" x14ac:dyDescent="0.2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3.5" customHeight="1" x14ac:dyDescent="0.2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3.5" customHeight="1" x14ac:dyDescent="0.2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3.5" customHeight="1" x14ac:dyDescent="0.2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3.5" customHeight="1" x14ac:dyDescent="0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3.5" customHeight="1" x14ac:dyDescent="0.2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3.5" customHeight="1" x14ac:dyDescent="0.2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3.5" customHeight="1" x14ac:dyDescent="0.2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3.5" customHeight="1" x14ac:dyDescent="0.2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3.5" customHeight="1" x14ac:dyDescent="0.2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3.5" customHeight="1" x14ac:dyDescent="0.2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3.5" customHeight="1" x14ac:dyDescent="0.2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3.5" customHeight="1" x14ac:dyDescent="0.2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3.5" customHeight="1" x14ac:dyDescent="0.2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3.5" customHeight="1" x14ac:dyDescent="0.2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3.5" customHeight="1" x14ac:dyDescent="0.2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3.5" customHeight="1" x14ac:dyDescent="0.2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3.5" customHeight="1" x14ac:dyDescent="0.2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3.5" customHeight="1" x14ac:dyDescent="0.2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3.5" customHeight="1" x14ac:dyDescent="0.2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3.5" customHeight="1" x14ac:dyDescent="0.2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3.5" customHeight="1" x14ac:dyDescent="0.2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3.5" customHeight="1" x14ac:dyDescent="0.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3.5" customHeight="1" x14ac:dyDescent="0.2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3.5" customHeight="1" x14ac:dyDescent="0.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3.5" customHeight="1" x14ac:dyDescent="0.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3.5" customHeight="1" x14ac:dyDescent="0.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3.5" customHeight="1" x14ac:dyDescent="0.2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3.5" customHeight="1" x14ac:dyDescent="0.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3.5" customHeight="1" x14ac:dyDescent="0.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3.5" customHeight="1" x14ac:dyDescent="0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3.5" customHeight="1" x14ac:dyDescent="0.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3.5" customHeight="1" x14ac:dyDescent="0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3.5" customHeight="1" x14ac:dyDescent="0.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3.5" customHeight="1" x14ac:dyDescent="0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3.5" customHeight="1" x14ac:dyDescent="0.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3.5" customHeight="1" x14ac:dyDescent="0.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3.5" customHeight="1" x14ac:dyDescent="0.2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3.5" customHeight="1" x14ac:dyDescent="0.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3.5" customHeight="1" x14ac:dyDescent="0.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3.5" customHeight="1" x14ac:dyDescent="0.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3.5" customHeight="1" x14ac:dyDescent="0.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3.5" customHeight="1" x14ac:dyDescent="0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3.5" customHeight="1" x14ac:dyDescent="0.2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3.5" customHeight="1" x14ac:dyDescent="0.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3.5" customHeight="1" x14ac:dyDescent="0.2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3.5" customHeight="1" x14ac:dyDescent="0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3.5" customHeight="1" x14ac:dyDescent="0.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3.5" customHeight="1" x14ac:dyDescent="0.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3.5" customHeight="1" x14ac:dyDescent="0.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3.5" customHeight="1" x14ac:dyDescent="0.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3.5" customHeight="1" x14ac:dyDescent="0.2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3.5" customHeight="1" x14ac:dyDescent="0.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3.5" customHeight="1" x14ac:dyDescent="0.2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3.5" customHeight="1" x14ac:dyDescent="0.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3.5" customHeight="1" x14ac:dyDescent="0.2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3.5" customHeight="1" x14ac:dyDescent="0.2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3.5" customHeight="1" x14ac:dyDescent="0.2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3.5" customHeight="1" x14ac:dyDescent="0.2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3.5" customHeight="1" x14ac:dyDescent="0.2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3.5" customHeight="1" x14ac:dyDescent="0.2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3.5" customHeight="1" x14ac:dyDescent="0.2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3.5" customHeight="1" x14ac:dyDescent="0.2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3.5" customHeight="1" x14ac:dyDescent="0.2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3.5" customHeight="1" x14ac:dyDescent="0.2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3.5" customHeight="1" x14ac:dyDescent="0.2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3.5" customHeight="1" x14ac:dyDescent="0.2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3.5" customHeight="1" x14ac:dyDescent="0.2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3.5" customHeight="1" x14ac:dyDescent="0.2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3.5" customHeight="1" x14ac:dyDescent="0.2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3.5" customHeight="1" x14ac:dyDescent="0.2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3.5" customHeight="1" x14ac:dyDescent="0.2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3.5" customHeight="1" x14ac:dyDescent="0.2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3.5" customHeight="1" x14ac:dyDescent="0.2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3.5" customHeight="1" x14ac:dyDescent="0.2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3.5" customHeight="1" x14ac:dyDescent="0.2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3.5" customHeight="1" x14ac:dyDescent="0.2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3.5" customHeight="1" x14ac:dyDescent="0.2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3.5" customHeight="1" x14ac:dyDescent="0.2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3.5" customHeight="1" x14ac:dyDescent="0.2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3.5" customHeight="1" x14ac:dyDescent="0.2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3.5" customHeight="1" x14ac:dyDescent="0.2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3.5" customHeight="1" x14ac:dyDescent="0.2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3.5" customHeight="1" x14ac:dyDescent="0.2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3.5" customHeight="1" x14ac:dyDescent="0.2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3.5" customHeight="1" x14ac:dyDescent="0.2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3.5" customHeight="1" x14ac:dyDescent="0.2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3.5" customHeight="1" x14ac:dyDescent="0.2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3.5" customHeight="1" x14ac:dyDescent="0.2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3.5" customHeight="1" x14ac:dyDescent="0.2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3.5" customHeight="1" x14ac:dyDescent="0.2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3.5" customHeight="1" x14ac:dyDescent="0.2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3.5" customHeight="1" x14ac:dyDescent="0.2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3.5" customHeight="1" x14ac:dyDescent="0.2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3.5" customHeight="1" x14ac:dyDescent="0.2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3.5" customHeight="1" x14ac:dyDescent="0.2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3.5" customHeight="1" x14ac:dyDescent="0.2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3.5" customHeight="1" x14ac:dyDescent="0.2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3.5" customHeight="1" x14ac:dyDescent="0.2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3.5" customHeight="1" x14ac:dyDescent="0.2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3.5" customHeight="1" x14ac:dyDescent="0.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3.5" customHeight="1" x14ac:dyDescent="0.2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3.5" customHeight="1" x14ac:dyDescent="0.2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3.5" customHeight="1" x14ac:dyDescent="0.2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3.5" customHeight="1" x14ac:dyDescent="0.2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3.5" customHeight="1" x14ac:dyDescent="0.2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3.5" customHeight="1" x14ac:dyDescent="0.2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3.5" customHeight="1" x14ac:dyDescent="0.2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3.5" customHeight="1" x14ac:dyDescent="0.2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3.5" customHeight="1" x14ac:dyDescent="0.2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3.5" customHeight="1" x14ac:dyDescent="0.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3.5" customHeight="1" x14ac:dyDescent="0.2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3.5" customHeight="1" x14ac:dyDescent="0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3.5" customHeight="1" x14ac:dyDescent="0.2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3.5" customHeight="1" x14ac:dyDescent="0.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3.5" customHeight="1" x14ac:dyDescent="0.2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3.5" customHeight="1" x14ac:dyDescent="0.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3.5" customHeight="1" x14ac:dyDescent="0.2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3.5" customHeight="1" x14ac:dyDescent="0.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3.5" customHeight="1" x14ac:dyDescent="0.2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3.5" customHeight="1" x14ac:dyDescent="0.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3.5" customHeight="1" x14ac:dyDescent="0.2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3.5" customHeight="1" x14ac:dyDescent="0.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3.5" customHeight="1" x14ac:dyDescent="0.2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3.5" customHeight="1" x14ac:dyDescent="0.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3.5" customHeight="1" x14ac:dyDescent="0.2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3.5" customHeight="1" x14ac:dyDescent="0.2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3.5" customHeight="1" x14ac:dyDescent="0.2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3.5" customHeight="1" x14ac:dyDescent="0.2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3.5" customHeight="1" x14ac:dyDescent="0.2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3.5" customHeight="1" x14ac:dyDescent="0.2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3.5" customHeight="1" x14ac:dyDescent="0.2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3.5" customHeight="1" x14ac:dyDescent="0.2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3.5" customHeight="1" x14ac:dyDescent="0.2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3.5" customHeight="1" x14ac:dyDescent="0.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3.5" customHeight="1" x14ac:dyDescent="0.2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3.5" customHeight="1" x14ac:dyDescent="0.2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3.5" customHeight="1" x14ac:dyDescent="0.2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3.5" customHeight="1" x14ac:dyDescent="0.2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3.5" customHeight="1" x14ac:dyDescent="0.2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3.5" customHeight="1" x14ac:dyDescent="0.2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3.5" customHeight="1" x14ac:dyDescent="0.2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3.5" customHeight="1" x14ac:dyDescent="0.2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3.5" customHeight="1" x14ac:dyDescent="0.2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3.5" customHeight="1" x14ac:dyDescent="0.2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3.5" customHeight="1" x14ac:dyDescent="0.2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3.5" customHeight="1" x14ac:dyDescent="0.2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3.5" customHeight="1" x14ac:dyDescent="0.2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3.5" customHeight="1" x14ac:dyDescent="0.2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3.5" customHeight="1" x14ac:dyDescent="0.2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3.5" customHeight="1" x14ac:dyDescent="0.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3.5" customHeight="1" x14ac:dyDescent="0.2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3.5" customHeight="1" x14ac:dyDescent="0.2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3.5" customHeight="1" x14ac:dyDescent="0.2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3.5" customHeight="1" x14ac:dyDescent="0.2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3.5" customHeight="1" x14ac:dyDescent="0.2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3.5" customHeight="1" x14ac:dyDescent="0.2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3.5" customHeight="1" x14ac:dyDescent="0.2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3.5" customHeight="1" x14ac:dyDescent="0.2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3.5" customHeight="1" x14ac:dyDescent="0.2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3.5" customHeight="1" x14ac:dyDescent="0.2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3.5" customHeight="1" x14ac:dyDescent="0.2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3.5" customHeight="1" x14ac:dyDescent="0.2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3.5" customHeight="1" x14ac:dyDescent="0.2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3.5" customHeight="1" x14ac:dyDescent="0.2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3.5" customHeight="1" x14ac:dyDescent="0.2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3.5" customHeight="1" x14ac:dyDescent="0.2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3.5" customHeight="1" x14ac:dyDescent="0.2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3.5" customHeight="1" x14ac:dyDescent="0.2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3.5" customHeight="1" x14ac:dyDescent="0.2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3.5" customHeight="1" x14ac:dyDescent="0.2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3.5" customHeight="1" x14ac:dyDescent="0.2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3.5" customHeight="1" x14ac:dyDescent="0.2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3.5" customHeight="1" x14ac:dyDescent="0.2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3.5" customHeight="1" x14ac:dyDescent="0.2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3.5" customHeight="1" x14ac:dyDescent="0.2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3.5" customHeight="1" x14ac:dyDescent="0.2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3.5" customHeight="1" x14ac:dyDescent="0.2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3.5" customHeight="1" x14ac:dyDescent="0.2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3.5" customHeight="1" x14ac:dyDescent="0.2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3.5" customHeight="1" x14ac:dyDescent="0.2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3.5" customHeight="1" x14ac:dyDescent="0.2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3.5" customHeight="1" x14ac:dyDescent="0.2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3.5" customHeight="1" x14ac:dyDescent="0.2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3.5" customHeight="1" x14ac:dyDescent="0.2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3.5" customHeight="1" x14ac:dyDescent="0.2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3.5" customHeight="1" x14ac:dyDescent="0.2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3.5" customHeight="1" x14ac:dyDescent="0.2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3.5" customHeight="1" x14ac:dyDescent="0.2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3.5" customHeight="1" x14ac:dyDescent="0.2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3.5" customHeight="1" x14ac:dyDescent="0.2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3.5" customHeight="1" x14ac:dyDescent="0.2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3.5" customHeight="1" x14ac:dyDescent="0.2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3.5" customHeight="1" x14ac:dyDescent="0.2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3.5" customHeight="1" x14ac:dyDescent="0.2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3.5" customHeight="1" x14ac:dyDescent="0.2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3.5" customHeight="1" x14ac:dyDescent="0.2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3.5" customHeight="1" x14ac:dyDescent="0.2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3.5" customHeight="1" x14ac:dyDescent="0.2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3.5" customHeight="1" x14ac:dyDescent="0.2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3.5" customHeight="1" x14ac:dyDescent="0.2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3.5" customHeight="1" x14ac:dyDescent="0.2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3.5" customHeight="1" x14ac:dyDescent="0.2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3.5" customHeight="1" x14ac:dyDescent="0.2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3.5" customHeight="1" x14ac:dyDescent="0.2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3.5" customHeight="1" x14ac:dyDescent="0.2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3.5" customHeight="1" x14ac:dyDescent="0.2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3.5" customHeight="1" x14ac:dyDescent="0.2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3.5" customHeight="1" x14ac:dyDescent="0.2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3.5" customHeight="1" x14ac:dyDescent="0.2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3.5" customHeight="1" x14ac:dyDescent="0.2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3.5" customHeight="1" x14ac:dyDescent="0.2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3.5" customHeight="1" x14ac:dyDescent="0.2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3.5" customHeight="1" x14ac:dyDescent="0.2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3.5" customHeight="1" x14ac:dyDescent="0.2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3.5" customHeight="1" x14ac:dyDescent="0.2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3.5" customHeight="1" x14ac:dyDescent="0.2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3.5" customHeight="1" x14ac:dyDescent="0.2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3.5" customHeight="1" x14ac:dyDescent="0.2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3.5" customHeight="1" x14ac:dyDescent="0.2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3.5" customHeight="1" x14ac:dyDescent="0.2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3.5" customHeight="1" x14ac:dyDescent="0.2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3.5" customHeight="1" x14ac:dyDescent="0.2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3.5" customHeight="1" x14ac:dyDescent="0.2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3.5" customHeight="1" x14ac:dyDescent="0.2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3.5" customHeight="1" x14ac:dyDescent="0.2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3.5" customHeight="1" x14ac:dyDescent="0.2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3.5" customHeight="1" x14ac:dyDescent="0.2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3.5" customHeight="1" x14ac:dyDescent="0.2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3.5" customHeight="1" x14ac:dyDescent="0.2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3.5" customHeight="1" x14ac:dyDescent="0.2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3.5" customHeight="1" x14ac:dyDescent="0.2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3.5" customHeight="1" x14ac:dyDescent="0.2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3.5" customHeight="1" x14ac:dyDescent="0.2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3.5" customHeight="1" x14ac:dyDescent="0.2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3.5" customHeight="1" x14ac:dyDescent="0.2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3.5" customHeight="1" x14ac:dyDescent="0.2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3.5" customHeight="1" x14ac:dyDescent="0.2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3.5" customHeight="1" x14ac:dyDescent="0.2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3.5" customHeight="1" x14ac:dyDescent="0.2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3.5" customHeight="1" x14ac:dyDescent="0.2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3.5" customHeight="1" x14ac:dyDescent="0.2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3.5" customHeight="1" x14ac:dyDescent="0.2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3.5" customHeight="1" x14ac:dyDescent="0.2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3.5" customHeight="1" x14ac:dyDescent="0.2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3.5" customHeight="1" x14ac:dyDescent="0.2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3.5" customHeight="1" x14ac:dyDescent="0.2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3.5" customHeight="1" x14ac:dyDescent="0.2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3.5" customHeight="1" x14ac:dyDescent="0.2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3.5" customHeight="1" x14ac:dyDescent="0.2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3.5" customHeight="1" x14ac:dyDescent="0.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3.5" customHeight="1" x14ac:dyDescent="0.2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3.5" customHeight="1" x14ac:dyDescent="0.2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3.5" customHeight="1" x14ac:dyDescent="0.2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3.5" customHeight="1" x14ac:dyDescent="0.2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3.5" customHeight="1" x14ac:dyDescent="0.2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3.5" customHeight="1" x14ac:dyDescent="0.2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3.5" customHeight="1" x14ac:dyDescent="0.2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3.5" customHeight="1" x14ac:dyDescent="0.2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3.5" customHeight="1" x14ac:dyDescent="0.2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3.5" customHeight="1" x14ac:dyDescent="0.2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3.5" customHeight="1" x14ac:dyDescent="0.2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3.5" customHeight="1" x14ac:dyDescent="0.2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3.5" customHeight="1" x14ac:dyDescent="0.2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3.5" customHeight="1" x14ac:dyDescent="0.2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3.5" customHeight="1" x14ac:dyDescent="0.2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3.5" customHeight="1" x14ac:dyDescent="0.2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3.5" customHeight="1" x14ac:dyDescent="0.2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3.5" customHeight="1" x14ac:dyDescent="0.2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3.5" customHeight="1" x14ac:dyDescent="0.2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3.5" customHeight="1" x14ac:dyDescent="0.2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3.5" customHeight="1" x14ac:dyDescent="0.2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3.5" customHeight="1" x14ac:dyDescent="0.2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3.5" customHeight="1" x14ac:dyDescent="0.2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3.5" customHeight="1" x14ac:dyDescent="0.2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3.5" customHeight="1" x14ac:dyDescent="0.2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3.5" customHeight="1" x14ac:dyDescent="0.2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3.5" customHeight="1" x14ac:dyDescent="0.2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3.5" customHeight="1" x14ac:dyDescent="0.2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3.5" customHeight="1" x14ac:dyDescent="0.2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3.5" customHeight="1" x14ac:dyDescent="0.2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3.5" customHeight="1" x14ac:dyDescent="0.2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3.5" customHeight="1" x14ac:dyDescent="0.2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3.5" customHeight="1" x14ac:dyDescent="0.2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3.5" customHeight="1" x14ac:dyDescent="0.2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3.5" customHeight="1" x14ac:dyDescent="0.2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3.5" customHeight="1" x14ac:dyDescent="0.2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3.5" customHeight="1" x14ac:dyDescent="0.2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3.5" customHeight="1" x14ac:dyDescent="0.2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3.5" customHeight="1" x14ac:dyDescent="0.2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3.5" customHeight="1" x14ac:dyDescent="0.2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3.5" customHeight="1" x14ac:dyDescent="0.2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3.5" customHeight="1" x14ac:dyDescent="0.2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3.5" customHeight="1" x14ac:dyDescent="0.2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3.5" customHeight="1" x14ac:dyDescent="0.2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3.5" customHeight="1" x14ac:dyDescent="0.2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3.5" customHeight="1" x14ac:dyDescent="0.2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3.5" customHeight="1" x14ac:dyDescent="0.2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3.5" customHeight="1" x14ac:dyDescent="0.2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3.5" customHeight="1" x14ac:dyDescent="0.2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3.5" customHeight="1" x14ac:dyDescent="0.2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3.5" customHeight="1" x14ac:dyDescent="0.2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3.5" customHeight="1" x14ac:dyDescent="0.2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3.5" customHeight="1" x14ac:dyDescent="0.2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3.5" customHeight="1" x14ac:dyDescent="0.2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3.5" customHeight="1" x14ac:dyDescent="0.2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3.5" customHeight="1" x14ac:dyDescent="0.2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3.5" customHeight="1" x14ac:dyDescent="0.2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3.5" customHeight="1" x14ac:dyDescent="0.2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3.5" customHeight="1" x14ac:dyDescent="0.2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3.5" customHeight="1" x14ac:dyDescent="0.2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3.5" customHeight="1" x14ac:dyDescent="0.2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3.5" customHeight="1" x14ac:dyDescent="0.2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3.5" customHeight="1" x14ac:dyDescent="0.2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3.5" customHeight="1" x14ac:dyDescent="0.2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3.5" customHeight="1" x14ac:dyDescent="0.2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3.5" customHeight="1" x14ac:dyDescent="0.2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3.5" customHeight="1" x14ac:dyDescent="0.2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3.5" customHeight="1" x14ac:dyDescent="0.2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3.5" customHeight="1" x14ac:dyDescent="0.2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3.5" customHeight="1" x14ac:dyDescent="0.2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3.5" customHeight="1" x14ac:dyDescent="0.2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3.5" customHeight="1" x14ac:dyDescent="0.2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3.5" customHeight="1" x14ac:dyDescent="0.2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3.5" customHeight="1" x14ac:dyDescent="0.2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3.5" customHeight="1" x14ac:dyDescent="0.2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3.5" customHeight="1" x14ac:dyDescent="0.2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3.5" customHeight="1" x14ac:dyDescent="0.2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3.5" customHeight="1" x14ac:dyDescent="0.2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3.5" customHeight="1" x14ac:dyDescent="0.2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3.5" customHeight="1" x14ac:dyDescent="0.2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3.5" customHeight="1" x14ac:dyDescent="0.2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3.5" customHeight="1" x14ac:dyDescent="0.2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3.5" customHeight="1" x14ac:dyDescent="0.2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3.5" customHeight="1" x14ac:dyDescent="0.2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3.5" customHeight="1" x14ac:dyDescent="0.2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3.5" customHeight="1" x14ac:dyDescent="0.2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3.5" customHeight="1" x14ac:dyDescent="0.2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3.5" customHeight="1" x14ac:dyDescent="0.2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3.5" customHeight="1" x14ac:dyDescent="0.2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3.5" customHeight="1" x14ac:dyDescent="0.2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3.5" customHeight="1" x14ac:dyDescent="0.2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3.5" customHeight="1" x14ac:dyDescent="0.2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3.5" customHeight="1" x14ac:dyDescent="0.2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3.5" customHeight="1" x14ac:dyDescent="0.2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3.5" customHeight="1" x14ac:dyDescent="0.2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3.5" customHeight="1" x14ac:dyDescent="0.2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3.5" customHeight="1" x14ac:dyDescent="0.2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3.5" customHeight="1" x14ac:dyDescent="0.2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3.5" customHeight="1" x14ac:dyDescent="0.2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3.5" customHeight="1" x14ac:dyDescent="0.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3.5" customHeight="1" x14ac:dyDescent="0.2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3.5" customHeight="1" x14ac:dyDescent="0.2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3.5" customHeight="1" x14ac:dyDescent="0.2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3.5" customHeight="1" x14ac:dyDescent="0.2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3.5" customHeight="1" x14ac:dyDescent="0.2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3.5" customHeight="1" x14ac:dyDescent="0.2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3.5" customHeight="1" x14ac:dyDescent="0.2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3.5" customHeight="1" x14ac:dyDescent="0.2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3.5" customHeight="1" x14ac:dyDescent="0.2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3.5" customHeight="1" x14ac:dyDescent="0.2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3.5" customHeight="1" x14ac:dyDescent="0.2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3.5" customHeight="1" x14ac:dyDescent="0.2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3.5" customHeight="1" x14ac:dyDescent="0.2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3.5" customHeight="1" x14ac:dyDescent="0.2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3.5" customHeight="1" x14ac:dyDescent="0.2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3.5" customHeight="1" x14ac:dyDescent="0.2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3.5" customHeight="1" x14ac:dyDescent="0.2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3.5" customHeight="1" x14ac:dyDescent="0.2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3.5" customHeight="1" x14ac:dyDescent="0.2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3.5" customHeight="1" x14ac:dyDescent="0.2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3.5" customHeight="1" x14ac:dyDescent="0.2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3.5" customHeight="1" x14ac:dyDescent="0.2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3.5" customHeight="1" x14ac:dyDescent="0.2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3.5" customHeight="1" x14ac:dyDescent="0.2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3.5" customHeight="1" x14ac:dyDescent="0.2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3.5" customHeight="1" x14ac:dyDescent="0.2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3.5" customHeight="1" x14ac:dyDescent="0.2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3.5" customHeight="1" x14ac:dyDescent="0.2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3.5" customHeight="1" x14ac:dyDescent="0.2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3.5" customHeight="1" x14ac:dyDescent="0.2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3.5" customHeight="1" x14ac:dyDescent="0.2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3.5" customHeight="1" x14ac:dyDescent="0.2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3.5" customHeight="1" x14ac:dyDescent="0.2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3.5" customHeight="1" x14ac:dyDescent="0.2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3.5" customHeight="1" x14ac:dyDescent="0.2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3.5" customHeight="1" x14ac:dyDescent="0.2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3.5" customHeight="1" x14ac:dyDescent="0.2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3.5" customHeight="1" x14ac:dyDescent="0.2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3.5" customHeight="1" x14ac:dyDescent="0.2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3.5" customHeight="1" x14ac:dyDescent="0.2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3.5" customHeight="1" x14ac:dyDescent="0.2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3.5" customHeight="1" x14ac:dyDescent="0.2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3.5" customHeight="1" x14ac:dyDescent="0.2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3.5" customHeight="1" x14ac:dyDescent="0.2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3.5" customHeight="1" x14ac:dyDescent="0.2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3.5" customHeight="1" x14ac:dyDescent="0.2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3.5" customHeight="1" x14ac:dyDescent="0.2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3.5" customHeight="1" x14ac:dyDescent="0.2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3.5" customHeight="1" x14ac:dyDescent="0.2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3.5" customHeight="1" x14ac:dyDescent="0.2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3.5" customHeight="1" x14ac:dyDescent="0.2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3.5" customHeight="1" x14ac:dyDescent="0.2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3.5" customHeight="1" x14ac:dyDescent="0.2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3.5" customHeight="1" x14ac:dyDescent="0.2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3.5" customHeight="1" x14ac:dyDescent="0.2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3.5" customHeight="1" x14ac:dyDescent="0.2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3.5" customHeight="1" x14ac:dyDescent="0.2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3.5" customHeight="1" x14ac:dyDescent="0.2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3.5" customHeight="1" x14ac:dyDescent="0.2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3.5" customHeight="1" x14ac:dyDescent="0.2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3.5" customHeight="1" x14ac:dyDescent="0.2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3.5" customHeight="1" x14ac:dyDescent="0.2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3.5" customHeight="1" x14ac:dyDescent="0.2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3.5" customHeight="1" x14ac:dyDescent="0.2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3.5" customHeight="1" x14ac:dyDescent="0.2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3.5" customHeight="1" x14ac:dyDescent="0.2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3.5" customHeight="1" x14ac:dyDescent="0.2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3.5" customHeight="1" x14ac:dyDescent="0.2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3.5" customHeight="1" x14ac:dyDescent="0.2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3.5" customHeight="1" x14ac:dyDescent="0.2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3.5" customHeight="1" x14ac:dyDescent="0.2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3.5" customHeight="1" x14ac:dyDescent="0.2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3.5" customHeight="1" x14ac:dyDescent="0.2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3.5" customHeight="1" x14ac:dyDescent="0.2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3.5" customHeight="1" x14ac:dyDescent="0.2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3.5" customHeight="1" x14ac:dyDescent="0.2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3.5" customHeight="1" x14ac:dyDescent="0.2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3.5" customHeight="1" x14ac:dyDescent="0.2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3.5" customHeight="1" x14ac:dyDescent="0.2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3.5" customHeight="1" x14ac:dyDescent="0.2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3.5" customHeight="1" x14ac:dyDescent="0.2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3.5" customHeight="1" x14ac:dyDescent="0.2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3.5" customHeight="1" x14ac:dyDescent="0.2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3.5" customHeight="1" x14ac:dyDescent="0.2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3.5" customHeight="1" x14ac:dyDescent="0.2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3.5" customHeight="1" x14ac:dyDescent="0.2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3.5" customHeight="1" x14ac:dyDescent="0.2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3.5" customHeight="1" x14ac:dyDescent="0.2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3.5" customHeight="1" x14ac:dyDescent="0.2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3.5" customHeight="1" x14ac:dyDescent="0.2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3.5" customHeight="1" x14ac:dyDescent="0.2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3.5" customHeight="1" x14ac:dyDescent="0.2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3.5" customHeight="1" x14ac:dyDescent="0.2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3.5" customHeight="1" x14ac:dyDescent="0.2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3.5" customHeight="1" x14ac:dyDescent="0.2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3.5" customHeight="1" x14ac:dyDescent="0.2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3.5" customHeight="1" x14ac:dyDescent="0.2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3.5" customHeight="1" x14ac:dyDescent="0.2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3.5" customHeight="1" x14ac:dyDescent="0.2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3.5" customHeight="1" x14ac:dyDescent="0.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3.5" customHeight="1" x14ac:dyDescent="0.2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3.5" customHeight="1" x14ac:dyDescent="0.2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3.5" customHeight="1" x14ac:dyDescent="0.2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3.5" customHeight="1" x14ac:dyDescent="0.2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3.5" customHeight="1" x14ac:dyDescent="0.2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3.5" customHeight="1" x14ac:dyDescent="0.2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3.5" customHeight="1" x14ac:dyDescent="0.2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3.5" customHeight="1" x14ac:dyDescent="0.2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3.5" customHeight="1" x14ac:dyDescent="0.2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3.5" customHeight="1" x14ac:dyDescent="0.2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3.5" customHeight="1" x14ac:dyDescent="0.2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3.5" customHeight="1" x14ac:dyDescent="0.2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3.5" customHeight="1" x14ac:dyDescent="0.2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3.5" customHeight="1" x14ac:dyDescent="0.2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3.5" customHeight="1" x14ac:dyDescent="0.2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3.5" customHeight="1" x14ac:dyDescent="0.2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3.5" customHeight="1" x14ac:dyDescent="0.2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3.5" customHeight="1" x14ac:dyDescent="0.2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3.5" customHeight="1" x14ac:dyDescent="0.2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3.5" customHeight="1" x14ac:dyDescent="0.2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3.5" customHeight="1" x14ac:dyDescent="0.2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3.5" customHeight="1" x14ac:dyDescent="0.2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3.5" customHeight="1" x14ac:dyDescent="0.2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3.5" customHeight="1" x14ac:dyDescent="0.2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3.5" customHeight="1" x14ac:dyDescent="0.2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3.5" customHeight="1" x14ac:dyDescent="0.2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3.5" customHeight="1" x14ac:dyDescent="0.2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3.5" customHeight="1" x14ac:dyDescent="0.2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3.5" customHeight="1" x14ac:dyDescent="0.2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3.5" customHeight="1" x14ac:dyDescent="0.2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3.5" customHeight="1" x14ac:dyDescent="0.2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3.5" customHeight="1" x14ac:dyDescent="0.2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3.5" customHeight="1" x14ac:dyDescent="0.2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3.5" customHeight="1" x14ac:dyDescent="0.2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3.5" customHeight="1" x14ac:dyDescent="0.2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3.5" customHeight="1" x14ac:dyDescent="0.2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3.5" customHeight="1" x14ac:dyDescent="0.2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3.5" customHeight="1" x14ac:dyDescent="0.2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3.5" customHeight="1" x14ac:dyDescent="0.2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3.5" customHeight="1" x14ac:dyDescent="0.2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3.5" customHeight="1" x14ac:dyDescent="0.2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3.5" customHeight="1" x14ac:dyDescent="0.2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3.5" customHeight="1" x14ac:dyDescent="0.2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3.5" customHeight="1" x14ac:dyDescent="0.2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3.5" customHeight="1" x14ac:dyDescent="0.2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3.5" customHeight="1" x14ac:dyDescent="0.2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3.5" customHeight="1" x14ac:dyDescent="0.2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3.5" customHeight="1" x14ac:dyDescent="0.2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3.5" customHeight="1" x14ac:dyDescent="0.2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3.5" customHeight="1" x14ac:dyDescent="0.2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3.5" customHeight="1" x14ac:dyDescent="0.2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3.5" customHeight="1" x14ac:dyDescent="0.2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3.5" customHeight="1" x14ac:dyDescent="0.2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3.5" customHeight="1" x14ac:dyDescent="0.2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3.5" customHeight="1" x14ac:dyDescent="0.2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3.5" customHeight="1" x14ac:dyDescent="0.2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3.5" customHeight="1" x14ac:dyDescent="0.2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3.5" customHeight="1" x14ac:dyDescent="0.2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3.5" customHeight="1" x14ac:dyDescent="0.2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3.5" customHeight="1" x14ac:dyDescent="0.2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3.5" customHeight="1" x14ac:dyDescent="0.2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3.5" customHeight="1" x14ac:dyDescent="0.2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3.5" customHeight="1" x14ac:dyDescent="0.2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3.5" customHeight="1" x14ac:dyDescent="0.2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3.5" customHeight="1" x14ac:dyDescent="0.2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3.5" customHeight="1" x14ac:dyDescent="0.2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3.5" customHeight="1" x14ac:dyDescent="0.2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3.5" customHeight="1" x14ac:dyDescent="0.2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3.5" customHeight="1" x14ac:dyDescent="0.2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3.5" customHeight="1" x14ac:dyDescent="0.2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3.5" customHeight="1" x14ac:dyDescent="0.2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3.5" customHeight="1" x14ac:dyDescent="0.2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3.5" customHeight="1" x14ac:dyDescent="0.2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3.5" customHeight="1" x14ac:dyDescent="0.2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3.5" customHeight="1" x14ac:dyDescent="0.2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3.5" customHeight="1" x14ac:dyDescent="0.2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3.5" customHeight="1" x14ac:dyDescent="0.2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3.5" customHeight="1" x14ac:dyDescent="0.2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3.5" customHeight="1" x14ac:dyDescent="0.2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3.5" customHeight="1" x14ac:dyDescent="0.2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3.5" customHeight="1" x14ac:dyDescent="0.2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3.5" customHeight="1" x14ac:dyDescent="0.2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3.5" customHeight="1" x14ac:dyDescent="0.2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3.5" customHeight="1" x14ac:dyDescent="0.2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3.5" customHeight="1" x14ac:dyDescent="0.2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3.5" customHeight="1" x14ac:dyDescent="0.2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3.5" customHeight="1" x14ac:dyDescent="0.2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3.5" customHeight="1" x14ac:dyDescent="0.2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3.5" customHeight="1" x14ac:dyDescent="0.2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3.5" customHeight="1" x14ac:dyDescent="0.2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3.5" customHeight="1" x14ac:dyDescent="0.2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3.5" customHeight="1" x14ac:dyDescent="0.2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3.5" customHeight="1" x14ac:dyDescent="0.2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3.5" customHeight="1" x14ac:dyDescent="0.2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3.5" customHeight="1" x14ac:dyDescent="0.2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3.5" customHeight="1" x14ac:dyDescent="0.2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3.5" customHeight="1" x14ac:dyDescent="0.2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3.5" customHeight="1" x14ac:dyDescent="0.2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3.5" customHeight="1" x14ac:dyDescent="0.2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3.5" customHeight="1" x14ac:dyDescent="0.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3.5" customHeight="1" x14ac:dyDescent="0.2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3.5" customHeight="1" x14ac:dyDescent="0.2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3.5" customHeight="1" x14ac:dyDescent="0.2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3.5" customHeight="1" x14ac:dyDescent="0.2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3.5" customHeight="1" x14ac:dyDescent="0.2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3.5" customHeight="1" x14ac:dyDescent="0.2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3.5" customHeight="1" x14ac:dyDescent="0.2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3.5" customHeight="1" x14ac:dyDescent="0.2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3.5" customHeight="1" x14ac:dyDescent="0.2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3.5" customHeight="1" x14ac:dyDescent="0.2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3.5" customHeight="1" x14ac:dyDescent="0.2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3.5" customHeight="1" x14ac:dyDescent="0.2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3.5" customHeight="1" x14ac:dyDescent="0.2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3.5" customHeight="1" x14ac:dyDescent="0.2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3.5" customHeight="1" x14ac:dyDescent="0.2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3.5" customHeight="1" x14ac:dyDescent="0.2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3.5" customHeight="1" x14ac:dyDescent="0.2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3.5" customHeight="1" x14ac:dyDescent="0.2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3.5" customHeight="1" x14ac:dyDescent="0.2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3.5" customHeight="1" x14ac:dyDescent="0.2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3.5" customHeight="1" x14ac:dyDescent="0.2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3.5" customHeight="1" x14ac:dyDescent="0.2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3.5" customHeight="1" x14ac:dyDescent="0.2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3.5" customHeight="1" x14ac:dyDescent="0.2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3.5" customHeight="1" x14ac:dyDescent="0.2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3.5" customHeight="1" x14ac:dyDescent="0.2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3.5" customHeight="1" x14ac:dyDescent="0.2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3.5" customHeight="1" x14ac:dyDescent="0.2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3.5" customHeight="1" x14ac:dyDescent="0.2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3.5" customHeight="1" x14ac:dyDescent="0.2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3.5" customHeight="1" x14ac:dyDescent="0.2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3.5" customHeight="1" x14ac:dyDescent="0.2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3.5" customHeight="1" x14ac:dyDescent="0.2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3.5" customHeight="1" x14ac:dyDescent="0.2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3.5" customHeight="1" x14ac:dyDescent="0.2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3.5" customHeight="1" x14ac:dyDescent="0.2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3.5" customHeight="1" x14ac:dyDescent="0.2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3.5" customHeight="1" x14ac:dyDescent="0.2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3.5" customHeight="1" x14ac:dyDescent="0.2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3.5" customHeight="1" x14ac:dyDescent="0.2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3.5" customHeight="1" x14ac:dyDescent="0.2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3.5" customHeight="1" x14ac:dyDescent="0.2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3.5" customHeight="1" x14ac:dyDescent="0.2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3.5" customHeight="1" x14ac:dyDescent="0.2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3.5" customHeight="1" x14ac:dyDescent="0.2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3.5" customHeight="1" x14ac:dyDescent="0.2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3.5" customHeight="1" x14ac:dyDescent="0.2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3.5" customHeight="1" x14ac:dyDescent="0.2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3.5" customHeight="1" x14ac:dyDescent="0.2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3.5" customHeight="1" x14ac:dyDescent="0.2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3.5" customHeight="1" x14ac:dyDescent="0.2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3.5" customHeight="1" x14ac:dyDescent="0.2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3.5" customHeight="1" x14ac:dyDescent="0.2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3.5" customHeight="1" x14ac:dyDescent="0.2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3.5" customHeight="1" x14ac:dyDescent="0.2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3.5" customHeight="1" x14ac:dyDescent="0.2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3.5" customHeight="1" x14ac:dyDescent="0.2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3.5" customHeight="1" x14ac:dyDescent="0.2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3.5" customHeight="1" x14ac:dyDescent="0.2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3.5" customHeight="1" x14ac:dyDescent="0.2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3.5" customHeight="1" x14ac:dyDescent="0.2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3.5" customHeight="1" x14ac:dyDescent="0.2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3.5" customHeight="1" x14ac:dyDescent="0.2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3.5" customHeight="1" x14ac:dyDescent="0.2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3.5" customHeight="1" x14ac:dyDescent="0.25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3.5" customHeight="1" x14ac:dyDescent="0.25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3.5" customHeight="1" x14ac:dyDescent="0.25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3.5" customHeight="1" x14ac:dyDescent="0.25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3.5" customHeight="1" x14ac:dyDescent="0.25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3.5" customHeight="1" x14ac:dyDescent="0.2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3.5" customHeight="1" x14ac:dyDescent="0.25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13.5" customHeight="1" x14ac:dyDescent="0.25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13.5" customHeight="1" x14ac:dyDescent="0.25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13.5" customHeight="1" x14ac:dyDescent="0.25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13.5" customHeight="1" x14ac:dyDescent="0.25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11">
    <mergeCell ref="F17:H17"/>
    <mergeCell ref="F18:H18"/>
    <mergeCell ref="F19:H19"/>
    <mergeCell ref="F20:H20"/>
    <mergeCell ref="A1:I1"/>
    <mergeCell ref="A15:C15"/>
    <mergeCell ref="F15:H15"/>
    <mergeCell ref="A16:C16"/>
    <mergeCell ref="F16:H16"/>
    <mergeCell ref="A17:C17"/>
    <mergeCell ref="A18:C18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E5" sqref="E5"/>
    </sheetView>
  </sheetViews>
  <sheetFormatPr defaultColWidth="14.42578125" defaultRowHeight="15" customHeight="1" x14ac:dyDescent="0.25"/>
  <cols>
    <col min="1" max="1" width="8.7109375" customWidth="1"/>
    <col min="2" max="2" width="25.140625" customWidth="1"/>
    <col min="3" max="4" width="8.7109375" customWidth="1"/>
    <col min="5" max="5" width="10.5703125" customWidth="1"/>
    <col min="6" max="26" width="8.7109375" customWidth="1"/>
  </cols>
  <sheetData>
    <row r="1" spans="1:26" ht="13.5" customHeight="1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3.5" customHeight="1" x14ac:dyDescent="0.25">
      <c r="A2" s="51" t="s">
        <v>80</v>
      </c>
      <c r="B2" s="42"/>
      <c r="C2" s="42"/>
      <c r="D2" s="42"/>
      <c r="E2" s="42"/>
      <c r="F2" s="42"/>
      <c r="G2" s="42"/>
      <c r="H2" s="4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3.5" customHeight="1" x14ac:dyDescent="0.25">
      <c r="A3" s="48" t="s">
        <v>0</v>
      </c>
      <c r="B3" s="48" t="s">
        <v>81</v>
      </c>
      <c r="C3" s="52" t="s">
        <v>82</v>
      </c>
      <c r="D3" s="43"/>
      <c r="E3" s="53" t="s">
        <v>83</v>
      </c>
      <c r="F3" s="53" t="s">
        <v>84</v>
      </c>
      <c r="G3" s="48" t="s">
        <v>85</v>
      </c>
      <c r="H3" s="53" t="s">
        <v>86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3.5" customHeight="1" x14ac:dyDescent="0.25">
      <c r="A4" s="49"/>
      <c r="B4" s="49"/>
      <c r="C4" s="18" t="s">
        <v>87</v>
      </c>
      <c r="D4" s="18" t="s">
        <v>88</v>
      </c>
      <c r="E4" s="49"/>
      <c r="F4" s="49"/>
      <c r="G4" s="49"/>
      <c r="H4" s="49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3.5" customHeight="1" x14ac:dyDescent="0.25">
      <c r="A5" s="19">
        <v>1</v>
      </c>
      <c r="B5" s="20" t="s">
        <v>89</v>
      </c>
      <c r="C5" s="20">
        <v>45</v>
      </c>
      <c r="D5" s="20">
        <v>75</v>
      </c>
      <c r="E5" s="59"/>
      <c r="F5" s="21"/>
      <c r="G5" s="21"/>
      <c r="H5" s="22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3.5" customHeight="1" x14ac:dyDescent="0.25">
      <c r="A6" s="19">
        <v>2</v>
      </c>
      <c r="B6" s="20" t="s">
        <v>90</v>
      </c>
      <c r="C6" s="20">
        <v>4</v>
      </c>
      <c r="D6" s="20">
        <v>4.5</v>
      </c>
      <c r="E6" s="21"/>
      <c r="F6" s="21"/>
      <c r="G6" s="21"/>
      <c r="H6" s="22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3.5" customHeight="1" x14ac:dyDescent="0.25">
      <c r="A7" s="19">
        <v>3</v>
      </c>
      <c r="B7" s="20" t="s">
        <v>91</v>
      </c>
      <c r="C7" s="20">
        <v>56</v>
      </c>
      <c r="D7" s="20">
        <v>56</v>
      </c>
      <c r="E7" s="21"/>
      <c r="F7" s="21"/>
      <c r="G7" s="21"/>
      <c r="H7" s="22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3.5" customHeight="1" x14ac:dyDescent="0.25">
      <c r="A8" s="19">
        <v>4</v>
      </c>
      <c r="B8" s="20" t="s">
        <v>92</v>
      </c>
      <c r="C8" s="20">
        <v>7.5</v>
      </c>
      <c r="D8" s="20">
        <v>6.5</v>
      </c>
      <c r="E8" s="21"/>
      <c r="F8" s="21"/>
      <c r="G8" s="21"/>
      <c r="H8" s="22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3.5" customHeight="1" x14ac:dyDescent="0.25">
      <c r="A9" s="19">
        <v>5</v>
      </c>
      <c r="B9" s="20" t="s">
        <v>93</v>
      </c>
      <c r="C9" s="20">
        <v>89</v>
      </c>
      <c r="D9" s="20">
        <v>80</v>
      </c>
      <c r="E9" s="21"/>
      <c r="F9" s="21"/>
      <c r="G9" s="21"/>
      <c r="H9" s="22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3.5" customHeight="1" x14ac:dyDescent="0.25">
      <c r="A10" s="23"/>
      <c r="B10" s="23"/>
      <c r="C10" s="23"/>
      <c r="D10" s="23"/>
      <c r="E10" s="24"/>
      <c r="F10" s="24"/>
      <c r="G10" s="24"/>
      <c r="H10" s="24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3.5" customHeight="1" x14ac:dyDescent="0.25">
      <c r="A11" s="50" t="s">
        <v>94</v>
      </c>
      <c r="B11" s="43"/>
      <c r="C11" s="25"/>
      <c r="D11" s="25"/>
      <c r="E11" s="2"/>
      <c r="F11" s="26"/>
      <c r="G11" s="26"/>
      <c r="H11" s="26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3.5" customHeight="1" x14ac:dyDescent="0.25">
      <c r="A12" s="27" t="s">
        <v>95</v>
      </c>
      <c r="B12" s="27" t="s">
        <v>96</v>
      </c>
      <c r="C12" s="25"/>
      <c r="D12" s="25"/>
      <c r="E12" s="2"/>
      <c r="F12" s="26"/>
      <c r="G12" s="26"/>
      <c r="H12" s="26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3.5" customHeight="1" x14ac:dyDescent="0.25">
      <c r="A13" s="3">
        <v>0</v>
      </c>
      <c r="B13" s="3" t="s">
        <v>97</v>
      </c>
      <c r="C13" s="2"/>
      <c r="D13" s="2"/>
      <c r="E13" s="2"/>
      <c r="F13" s="26"/>
      <c r="G13" s="26"/>
      <c r="H13" s="26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3.5" customHeight="1" x14ac:dyDescent="0.25">
      <c r="A14" s="3">
        <v>5</v>
      </c>
      <c r="B14" s="3" t="s">
        <v>98</v>
      </c>
      <c r="C14" s="2"/>
      <c r="D14" s="2"/>
      <c r="E14" s="2"/>
      <c r="F14" s="26"/>
      <c r="G14" s="26"/>
      <c r="H14" s="26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3.5" customHeight="1" x14ac:dyDescent="0.25">
      <c r="A15" s="3">
        <v>8</v>
      </c>
      <c r="B15" s="3" t="s">
        <v>99</v>
      </c>
      <c r="C15" s="2"/>
      <c r="D15" s="2"/>
      <c r="E15" s="2"/>
      <c r="F15" s="26"/>
      <c r="G15" s="26"/>
      <c r="H15" s="26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3.5" customHeight="1" x14ac:dyDescent="0.25">
      <c r="A16" s="3">
        <v>10</v>
      </c>
      <c r="B16" s="3" t="s">
        <v>100</v>
      </c>
      <c r="C16" s="2"/>
      <c r="D16" s="2"/>
      <c r="E16" s="2"/>
      <c r="F16" s="26"/>
      <c r="G16" s="26"/>
      <c r="H16" s="26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3.5" customHeight="1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3.5" customHeight="1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3.5" customHeight="1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3.5" customHeight="1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3.5" customHeight="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3.5" customHeight="1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3.5" customHeight="1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3.5" customHeight="1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3.5" customHeight="1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3.5" customHeight="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3.5" customHeight="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3.5" customHeight="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3.5" customHeight="1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3.5" customHeight="1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3.5" customHeight="1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3.5" customHeight="1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3.5" customHeight="1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3.5" customHeight="1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3.5" customHeight="1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3.5" customHeight="1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3.5" customHeight="1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3.5" customHeight="1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3.5" customHeight="1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3.5" customHeight="1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3.5" customHeight="1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3.5" customHeight="1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3.5" customHeight="1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3.5" customHeight="1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3.5" customHeight="1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3.5" customHeight="1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3.5" customHeight="1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3.5" customHeight="1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3.5" customHeight="1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3.5" customHeight="1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3.5" customHeight="1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3.5" customHeight="1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3.5" customHeight="1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3.5" customHeight="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3.5" customHeight="1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3.5" customHeight="1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3.5" customHeight="1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3.5" customHeight="1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3.5" customHeigh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3.5" customHeight="1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3.5" customHeight="1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3.5" customHeight="1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3.5" customHeight="1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3.5" customHeight="1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3.5" customHeight="1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3.5" customHeight="1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3.5" customHeight="1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3.5" customHeight="1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3.5" customHeight="1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3.5" customHeight="1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3.5" customHeight="1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3.5" customHeight="1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3.5" customHeight="1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3.5" customHeight="1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3.5" customHeight="1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3.5" customHeight="1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3.5" customHeight="1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3.5" customHeight="1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3.5" customHeight="1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3.5" customHeight="1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3.5" customHeight="1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3.5" customHeight="1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3.5" customHeight="1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3.5" customHeight="1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3.5" customHeight="1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3.5" customHeight="1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3.5" customHeight="1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3.5" customHeight="1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3.5" customHeight="1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3.5" customHeight="1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3.5" customHeight="1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3.5" customHeight="1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3.5" customHeight="1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3.5" customHeight="1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3.5" customHeight="1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3.5" customHeight="1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3.5" customHeight="1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3.5" customHeight="1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3.5" customHeight="1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3.5" customHeight="1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3.5" customHeight="1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3.5" customHeight="1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3.5" customHeight="1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3.5" customHeight="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3.5" customHeight="1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3.5" customHeight="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3.5" customHeight="1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3.5" customHeight="1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3.5" customHeight="1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3.5" customHeight="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3.5" customHeight="1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3.5" customHeight="1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3.5" customHeight="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3.5" customHeight="1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3.5" customHeight="1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3.5" customHeight="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3.5" customHeight="1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3.5" customHeight="1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3.5" customHeight="1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3.5" customHeight="1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3.5" customHeight="1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3.5" customHeight="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3.5" customHeight="1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3.5" customHeight="1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3.5" customHeight="1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3.5" customHeight="1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3.5" customHeight="1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3.5" customHeight="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3.5" customHeight="1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3.5" customHeight="1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3.5" customHeight="1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3.5" customHeight="1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3.5" customHeight="1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3.5" customHeight="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3.5" customHeight="1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3.5" customHeight="1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3.5" customHeight="1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3.5" customHeight="1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3.5" customHeight="1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3.5" customHeight="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3.5" customHeight="1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3.5" customHeight="1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3.5" customHeight="1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3.5" customHeight="1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3.5" customHeight="1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3.5" customHeight="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3.5" customHeight="1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3.5" customHeight="1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3.5" customHeight="1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3.5" customHeight="1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3.5" customHeight="1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3.5" customHeight="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3.5" customHeight="1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3.5" customHeight="1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3.5" customHeight="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3.5" customHeight="1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3.5" customHeight="1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3.5" customHeight="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3.5" customHeight="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3.5" customHeight="1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3.5" customHeight="1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3.5" customHeight="1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3.5" customHeight="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3.5" customHeight="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3.5" customHeight="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3.5" customHeight="1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3.5" customHeight="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3.5" customHeight="1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3.5" customHeight="1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3.5" customHeight="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3.5" customHeight="1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3.5" customHeight="1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3.5" customHeight="1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3.5" customHeight="1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3.5" customHeight="1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3.5" customHeight="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3.5" customHeight="1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3.5" customHeight="1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3.5" customHeight="1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3.5" customHeight="1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3.5" customHeight="1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3.5" customHeight="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3.5" customHeight="1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3.5" customHeight="1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3.5" customHeight="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3.5" customHeight="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3.5" customHeight="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3.5" customHeight="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3.5" customHeight="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3.5" customHeight="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3.5" customHeight="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3.5" customHeight="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3.5" customHeight="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3.5" customHeight="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3.5" customHeight="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3.5" customHeight="1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3.5" customHeight="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3.5" customHeight="1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3.5" customHeight="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3.5" customHeight="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3.5" customHeight="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3.5" customHeight="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3.5" customHeight="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3.5" customHeight="1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3.5" customHeight="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3.5" customHeight="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3.5" customHeight="1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3.5" customHeight="1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3.5" customHeight="1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3.5" customHeight="1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3.5" customHeight="1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3.5" customHeight="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3.5" customHeight="1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3.5" customHeight="1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3.5" customHeight="1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3.5" customHeight="1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3.5" customHeight="1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3.5" customHeight="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3.5" customHeight="1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3.5" customHeight="1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3.5" customHeight="1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3.5" customHeight="1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3.5" customHeight="1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3.5" customHeight="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3.5" customHeight="1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3.5" customHeight="1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3.5" customHeight="1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3.5" customHeight="1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3.5" customHeight="1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3.5" customHeight="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3.5" customHeight="1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3.5" customHeight="1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3.5" customHeight="1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3.5" customHeight="1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3.5" customHeight="1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3.5" customHeight="1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3.5" customHeight="1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3.5" customHeight="1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3.5" customHeight="1" x14ac:dyDescent="0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3.5" customHeight="1" x14ac:dyDescent="0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3.5" customHeight="1" x14ac:dyDescent="0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3.5" customHeight="1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3.5" customHeight="1" x14ac:dyDescent="0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3.5" customHeight="1" x14ac:dyDescent="0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3.5" customHeight="1" x14ac:dyDescent="0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3.5" customHeight="1" x14ac:dyDescent="0.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3.5" customHeight="1" x14ac:dyDescent="0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3.5" customHeight="1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3.5" customHeight="1" x14ac:dyDescent="0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3.5" customHeight="1" x14ac:dyDescent="0.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3.5" customHeight="1" x14ac:dyDescent="0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3.5" customHeight="1" x14ac:dyDescent="0.2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3.5" customHeight="1" x14ac:dyDescent="0.2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3.5" customHeight="1" x14ac:dyDescent="0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3.5" customHeight="1" x14ac:dyDescent="0.2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3.5" customHeight="1" x14ac:dyDescent="0.2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3.5" customHeight="1" x14ac:dyDescent="0.2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3.5" customHeight="1" x14ac:dyDescent="0.2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3.5" customHeight="1" x14ac:dyDescent="0.2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3.5" customHeight="1" x14ac:dyDescent="0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3.5" customHeight="1" x14ac:dyDescent="0.2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3.5" customHeight="1" x14ac:dyDescent="0.2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3.5" customHeight="1" x14ac:dyDescent="0.2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3.5" customHeight="1" x14ac:dyDescent="0.2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3.5" customHeight="1" x14ac:dyDescent="0.2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3.5" customHeight="1" x14ac:dyDescent="0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3.5" customHeight="1" x14ac:dyDescent="0.2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3.5" customHeight="1" x14ac:dyDescent="0.2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3.5" customHeight="1" x14ac:dyDescent="0.2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3.5" customHeight="1" x14ac:dyDescent="0.2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3.5" customHeight="1" x14ac:dyDescent="0.2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3.5" customHeight="1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3.5" customHeight="1" x14ac:dyDescent="0.2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3.5" customHeight="1" x14ac:dyDescent="0.2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3.5" customHeight="1" x14ac:dyDescent="0.2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3.5" customHeight="1" x14ac:dyDescent="0.2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3.5" customHeight="1" x14ac:dyDescent="0.2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3.5" customHeight="1" x14ac:dyDescent="0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3.5" customHeight="1" x14ac:dyDescent="0.2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3.5" customHeight="1" x14ac:dyDescent="0.2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3.5" customHeight="1" x14ac:dyDescent="0.2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3.5" customHeight="1" x14ac:dyDescent="0.2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3.5" customHeight="1" x14ac:dyDescent="0.2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3.5" customHeight="1" x14ac:dyDescent="0.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3.5" customHeight="1" x14ac:dyDescent="0.2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3.5" customHeight="1" x14ac:dyDescent="0.2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3.5" customHeight="1" x14ac:dyDescent="0.2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3.5" customHeight="1" x14ac:dyDescent="0.2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3.5" customHeight="1" x14ac:dyDescent="0.2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3.5" customHeight="1" x14ac:dyDescent="0.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3.5" customHeight="1" x14ac:dyDescent="0.2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3.5" customHeight="1" x14ac:dyDescent="0.2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3.5" customHeight="1" x14ac:dyDescent="0.2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3.5" customHeight="1" x14ac:dyDescent="0.2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3.5" customHeight="1" x14ac:dyDescent="0.2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3.5" customHeight="1" x14ac:dyDescent="0.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3.5" customHeight="1" x14ac:dyDescent="0.2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3.5" customHeight="1" x14ac:dyDescent="0.2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3.5" customHeight="1" x14ac:dyDescent="0.2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3.5" customHeight="1" x14ac:dyDescent="0.2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3.5" customHeight="1" x14ac:dyDescent="0.2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3.5" customHeight="1" x14ac:dyDescent="0.2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3.5" customHeight="1" x14ac:dyDescent="0.2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3.5" customHeight="1" x14ac:dyDescent="0.2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3.5" customHeight="1" x14ac:dyDescent="0.2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3.5" customHeight="1" x14ac:dyDescent="0.2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3.5" customHeight="1" x14ac:dyDescent="0.2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3.5" customHeight="1" x14ac:dyDescent="0.2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3.5" customHeight="1" x14ac:dyDescent="0.2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3.5" customHeight="1" x14ac:dyDescent="0.2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3.5" customHeight="1" x14ac:dyDescent="0.2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3.5" customHeight="1" x14ac:dyDescent="0.2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3.5" customHeight="1" x14ac:dyDescent="0.2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3.5" customHeight="1" x14ac:dyDescent="0.2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3.5" customHeight="1" x14ac:dyDescent="0.2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3.5" customHeight="1" x14ac:dyDescent="0.2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3.5" customHeight="1" x14ac:dyDescent="0.2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3.5" customHeight="1" x14ac:dyDescent="0.2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3.5" customHeight="1" x14ac:dyDescent="0.2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3.5" customHeight="1" x14ac:dyDescent="0.2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3.5" customHeight="1" x14ac:dyDescent="0.2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3.5" customHeight="1" x14ac:dyDescent="0.2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3.5" customHeight="1" x14ac:dyDescent="0.2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3.5" customHeight="1" x14ac:dyDescent="0.2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3.5" customHeight="1" x14ac:dyDescent="0.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3.5" customHeight="1" x14ac:dyDescent="0.2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3.5" customHeight="1" x14ac:dyDescent="0.2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3.5" customHeight="1" x14ac:dyDescent="0.2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3.5" customHeight="1" x14ac:dyDescent="0.2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3.5" customHeight="1" x14ac:dyDescent="0.2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3.5" customHeight="1" x14ac:dyDescent="0.2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3.5" customHeight="1" x14ac:dyDescent="0.2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3.5" customHeight="1" x14ac:dyDescent="0.2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3.5" customHeight="1" x14ac:dyDescent="0.2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3.5" customHeight="1" x14ac:dyDescent="0.2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3.5" customHeight="1" x14ac:dyDescent="0.2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3.5" customHeight="1" x14ac:dyDescent="0.2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3.5" customHeight="1" x14ac:dyDescent="0.2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3.5" customHeight="1" x14ac:dyDescent="0.2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3.5" customHeight="1" x14ac:dyDescent="0.2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3.5" customHeight="1" x14ac:dyDescent="0.2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3.5" customHeight="1" x14ac:dyDescent="0.2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3.5" customHeight="1" x14ac:dyDescent="0.2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3.5" customHeight="1" x14ac:dyDescent="0.2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3.5" customHeight="1" x14ac:dyDescent="0.2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3.5" customHeight="1" x14ac:dyDescent="0.2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3.5" customHeight="1" x14ac:dyDescent="0.2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3.5" customHeight="1" x14ac:dyDescent="0.2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3.5" customHeight="1" x14ac:dyDescent="0.2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3.5" customHeight="1" x14ac:dyDescent="0.2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3.5" customHeight="1" x14ac:dyDescent="0.2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3.5" customHeight="1" x14ac:dyDescent="0.2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3.5" customHeight="1" x14ac:dyDescent="0.2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3.5" customHeight="1" x14ac:dyDescent="0.2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3.5" customHeight="1" x14ac:dyDescent="0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3.5" customHeight="1" x14ac:dyDescent="0.2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3.5" customHeight="1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3.5" customHeight="1" x14ac:dyDescent="0.2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3.5" customHeight="1" x14ac:dyDescent="0.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3.5" customHeight="1" x14ac:dyDescent="0.2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3.5" customHeight="1" x14ac:dyDescent="0.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3.5" customHeight="1" x14ac:dyDescent="0.2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3.5" customHeight="1" x14ac:dyDescent="0.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3.5" customHeight="1" x14ac:dyDescent="0.2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3.5" customHeight="1" x14ac:dyDescent="0.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3.5" customHeight="1" x14ac:dyDescent="0.2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3.5" customHeight="1" x14ac:dyDescent="0.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3.5" customHeight="1" x14ac:dyDescent="0.2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3.5" customHeight="1" x14ac:dyDescent="0.2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3.5" customHeight="1" x14ac:dyDescent="0.2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3.5" customHeight="1" x14ac:dyDescent="0.2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3.5" customHeight="1" x14ac:dyDescent="0.2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3.5" customHeight="1" x14ac:dyDescent="0.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3.5" customHeight="1" x14ac:dyDescent="0.2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3.5" customHeight="1" x14ac:dyDescent="0.2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3.5" customHeight="1" x14ac:dyDescent="0.2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3.5" customHeight="1" x14ac:dyDescent="0.2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3.5" customHeight="1" x14ac:dyDescent="0.2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3.5" customHeight="1" x14ac:dyDescent="0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3.5" customHeight="1" x14ac:dyDescent="0.2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3.5" customHeight="1" x14ac:dyDescent="0.2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3.5" customHeight="1" x14ac:dyDescent="0.2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3.5" customHeight="1" x14ac:dyDescent="0.2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3.5" customHeight="1" x14ac:dyDescent="0.2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3.5" customHeight="1" x14ac:dyDescent="0.2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3.5" customHeight="1" x14ac:dyDescent="0.2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3.5" customHeight="1" x14ac:dyDescent="0.2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3.5" customHeight="1" x14ac:dyDescent="0.2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3.5" customHeight="1" x14ac:dyDescent="0.2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3.5" customHeight="1" x14ac:dyDescent="0.2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3.5" customHeight="1" x14ac:dyDescent="0.2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3.5" customHeight="1" x14ac:dyDescent="0.2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3.5" customHeight="1" x14ac:dyDescent="0.2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3.5" customHeight="1" x14ac:dyDescent="0.2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3.5" customHeight="1" x14ac:dyDescent="0.2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3.5" customHeight="1" x14ac:dyDescent="0.2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3.5" customHeight="1" x14ac:dyDescent="0.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3.5" customHeight="1" x14ac:dyDescent="0.2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3.5" customHeight="1" x14ac:dyDescent="0.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3.5" customHeight="1" x14ac:dyDescent="0.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3.5" customHeight="1" x14ac:dyDescent="0.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3.5" customHeight="1" x14ac:dyDescent="0.2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3.5" customHeight="1" x14ac:dyDescent="0.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3.5" customHeight="1" x14ac:dyDescent="0.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3.5" customHeight="1" x14ac:dyDescent="0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3.5" customHeight="1" x14ac:dyDescent="0.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3.5" customHeight="1" x14ac:dyDescent="0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3.5" customHeight="1" x14ac:dyDescent="0.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3.5" customHeight="1" x14ac:dyDescent="0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3.5" customHeight="1" x14ac:dyDescent="0.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3.5" customHeight="1" x14ac:dyDescent="0.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3.5" customHeight="1" x14ac:dyDescent="0.2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3.5" customHeight="1" x14ac:dyDescent="0.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3.5" customHeight="1" x14ac:dyDescent="0.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3.5" customHeight="1" x14ac:dyDescent="0.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3.5" customHeight="1" x14ac:dyDescent="0.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3.5" customHeight="1" x14ac:dyDescent="0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3.5" customHeight="1" x14ac:dyDescent="0.2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3.5" customHeight="1" x14ac:dyDescent="0.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3.5" customHeight="1" x14ac:dyDescent="0.2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3.5" customHeight="1" x14ac:dyDescent="0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3.5" customHeight="1" x14ac:dyDescent="0.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3.5" customHeight="1" x14ac:dyDescent="0.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3.5" customHeight="1" x14ac:dyDescent="0.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3.5" customHeight="1" x14ac:dyDescent="0.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3.5" customHeight="1" x14ac:dyDescent="0.2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3.5" customHeight="1" x14ac:dyDescent="0.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3.5" customHeight="1" x14ac:dyDescent="0.2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3.5" customHeight="1" x14ac:dyDescent="0.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3.5" customHeight="1" x14ac:dyDescent="0.2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3.5" customHeight="1" x14ac:dyDescent="0.2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3.5" customHeight="1" x14ac:dyDescent="0.2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3.5" customHeight="1" x14ac:dyDescent="0.2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3.5" customHeight="1" x14ac:dyDescent="0.2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3.5" customHeight="1" x14ac:dyDescent="0.2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3.5" customHeight="1" x14ac:dyDescent="0.2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3.5" customHeight="1" x14ac:dyDescent="0.2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3.5" customHeight="1" x14ac:dyDescent="0.2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3.5" customHeight="1" x14ac:dyDescent="0.2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3.5" customHeight="1" x14ac:dyDescent="0.2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3.5" customHeight="1" x14ac:dyDescent="0.2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3.5" customHeight="1" x14ac:dyDescent="0.2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3.5" customHeight="1" x14ac:dyDescent="0.2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3.5" customHeight="1" x14ac:dyDescent="0.2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3.5" customHeight="1" x14ac:dyDescent="0.2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3.5" customHeight="1" x14ac:dyDescent="0.2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3.5" customHeight="1" x14ac:dyDescent="0.2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3.5" customHeight="1" x14ac:dyDescent="0.2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3.5" customHeight="1" x14ac:dyDescent="0.2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3.5" customHeight="1" x14ac:dyDescent="0.2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3.5" customHeight="1" x14ac:dyDescent="0.2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3.5" customHeight="1" x14ac:dyDescent="0.2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3.5" customHeight="1" x14ac:dyDescent="0.2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3.5" customHeight="1" x14ac:dyDescent="0.2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3.5" customHeight="1" x14ac:dyDescent="0.2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3.5" customHeight="1" x14ac:dyDescent="0.2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3.5" customHeight="1" x14ac:dyDescent="0.2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3.5" customHeight="1" x14ac:dyDescent="0.2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3.5" customHeight="1" x14ac:dyDescent="0.2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3.5" customHeight="1" x14ac:dyDescent="0.2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3.5" customHeight="1" x14ac:dyDescent="0.2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3.5" customHeight="1" x14ac:dyDescent="0.2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3.5" customHeight="1" x14ac:dyDescent="0.2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3.5" customHeight="1" x14ac:dyDescent="0.2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3.5" customHeight="1" x14ac:dyDescent="0.2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3.5" customHeight="1" x14ac:dyDescent="0.2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3.5" customHeight="1" x14ac:dyDescent="0.2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3.5" customHeight="1" x14ac:dyDescent="0.2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3.5" customHeight="1" x14ac:dyDescent="0.2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3.5" customHeight="1" x14ac:dyDescent="0.2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3.5" customHeight="1" x14ac:dyDescent="0.2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3.5" customHeight="1" x14ac:dyDescent="0.2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3.5" customHeight="1" x14ac:dyDescent="0.2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3.5" customHeight="1" x14ac:dyDescent="0.2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3.5" customHeight="1" x14ac:dyDescent="0.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3.5" customHeight="1" x14ac:dyDescent="0.2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3.5" customHeight="1" x14ac:dyDescent="0.2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3.5" customHeight="1" x14ac:dyDescent="0.2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3.5" customHeight="1" x14ac:dyDescent="0.2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3.5" customHeight="1" x14ac:dyDescent="0.2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3.5" customHeight="1" x14ac:dyDescent="0.2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3.5" customHeight="1" x14ac:dyDescent="0.2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3.5" customHeight="1" x14ac:dyDescent="0.2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3.5" customHeight="1" x14ac:dyDescent="0.2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3.5" customHeight="1" x14ac:dyDescent="0.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3.5" customHeight="1" x14ac:dyDescent="0.2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3.5" customHeight="1" x14ac:dyDescent="0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3.5" customHeight="1" x14ac:dyDescent="0.2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3.5" customHeight="1" x14ac:dyDescent="0.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3.5" customHeight="1" x14ac:dyDescent="0.2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3.5" customHeight="1" x14ac:dyDescent="0.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3.5" customHeight="1" x14ac:dyDescent="0.2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3.5" customHeight="1" x14ac:dyDescent="0.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3.5" customHeight="1" x14ac:dyDescent="0.2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3.5" customHeight="1" x14ac:dyDescent="0.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3.5" customHeight="1" x14ac:dyDescent="0.2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3.5" customHeight="1" x14ac:dyDescent="0.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3.5" customHeight="1" x14ac:dyDescent="0.2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3.5" customHeight="1" x14ac:dyDescent="0.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3.5" customHeight="1" x14ac:dyDescent="0.2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3.5" customHeight="1" x14ac:dyDescent="0.2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3.5" customHeight="1" x14ac:dyDescent="0.2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3.5" customHeight="1" x14ac:dyDescent="0.2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3.5" customHeight="1" x14ac:dyDescent="0.2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3.5" customHeight="1" x14ac:dyDescent="0.2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3.5" customHeight="1" x14ac:dyDescent="0.2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3.5" customHeight="1" x14ac:dyDescent="0.2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3.5" customHeight="1" x14ac:dyDescent="0.2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3.5" customHeight="1" x14ac:dyDescent="0.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3.5" customHeight="1" x14ac:dyDescent="0.2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3.5" customHeight="1" x14ac:dyDescent="0.2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3.5" customHeight="1" x14ac:dyDescent="0.2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3.5" customHeight="1" x14ac:dyDescent="0.2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3.5" customHeight="1" x14ac:dyDescent="0.2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3.5" customHeight="1" x14ac:dyDescent="0.2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3.5" customHeight="1" x14ac:dyDescent="0.2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3.5" customHeight="1" x14ac:dyDescent="0.2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3.5" customHeight="1" x14ac:dyDescent="0.2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3.5" customHeight="1" x14ac:dyDescent="0.2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3.5" customHeight="1" x14ac:dyDescent="0.2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3.5" customHeight="1" x14ac:dyDescent="0.2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3.5" customHeight="1" x14ac:dyDescent="0.2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3.5" customHeight="1" x14ac:dyDescent="0.2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3.5" customHeight="1" x14ac:dyDescent="0.2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3.5" customHeight="1" x14ac:dyDescent="0.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3.5" customHeight="1" x14ac:dyDescent="0.2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3.5" customHeight="1" x14ac:dyDescent="0.2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3.5" customHeight="1" x14ac:dyDescent="0.2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3.5" customHeight="1" x14ac:dyDescent="0.2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3.5" customHeight="1" x14ac:dyDescent="0.2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3.5" customHeight="1" x14ac:dyDescent="0.2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3.5" customHeight="1" x14ac:dyDescent="0.2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3.5" customHeight="1" x14ac:dyDescent="0.2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3.5" customHeight="1" x14ac:dyDescent="0.2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3.5" customHeight="1" x14ac:dyDescent="0.2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3.5" customHeight="1" x14ac:dyDescent="0.2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3.5" customHeight="1" x14ac:dyDescent="0.2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3.5" customHeight="1" x14ac:dyDescent="0.2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3.5" customHeight="1" x14ac:dyDescent="0.2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3.5" customHeight="1" x14ac:dyDescent="0.2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3.5" customHeight="1" x14ac:dyDescent="0.2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3.5" customHeight="1" x14ac:dyDescent="0.2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3.5" customHeight="1" x14ac:dyDescent="0.2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3.5" customHeight="1" x14ac:dyDescent="0.2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3.5" customHeight="1" x14ac:dyDescent="0.2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3.5" customHeight="1" x14ac:dyDescent="0.2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3.5" customHeight="1" x14ac:dyDescent="0.2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3.5" customHeight="1" x14ac:dyDescent="0.2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3.5" customHeight="1" x14ac:dyDescent="0.2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3.5" customHeight="1" x14ac:dyDescent="0.2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3.5" customHeight="1" x14ac:dyDescent="0.2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3.5" customHeight="1" x14ac:dyDescent="0.2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3.5" customHeight="1" x14ac:dyDescent="0.2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3.5" customHeight="1" x14ac:dyDescent="0.2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3.5" customHeight="1" x14ac:dyDescent="0.2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3.5" customHeight="1" x14ac:dyDescent="0.2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3.5" customHeight="1" x14ac:dyDescent="0.2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3.5" customHeight="1" x14ac:dyDescent="0.2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3.5" customHeight="1" x14ac:dyDescent="0.2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3.5" customHeight="1" x14ac:dyDescent="0.2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3.5" customHeight="1" x14ac:dyDescent="0.2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3.5" customHeight="1" x14ac:dyDescent="0.2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3.5" customHeight="1" x14ac:dyDescent="0.2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3.5" customHeight="1" x14ac:dyDescent="0.2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3.5" customHeight="1" x14ac:dyDescent="0.2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3.5" customHeight="1" x14ac:dyDescent="0.2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3.5" customHeight="1" x14ac:dyDescent="0.2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3.5" customHeight="1" x14ac:dyDescent="0.2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3.5" customHeight="1" x14ac:dyDescent="0.2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3.5" customHeight="1" x14ac:dyDescent="0.2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3.5" customHeight="1" x14ac:dyDescent="0.2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3.5" customHeight="1" x14ac:dyDescent="0.2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3.5" customHeight="1" x14ac:dyDescent="0.2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3.5" customHeight="1" x14ac:dyDescent="0.2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3.5" customHeight="1" x14ac:dyDescent="0.2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3.5" customHeight="1" x14ac:dyDescent="0.2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3.5" customHeight="1" x14ac:dyDescent="0.2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3.5" customHeight="1" x14ac:dyDescent="0.2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3.5" customHeight="1" x14ac:dyDescent="0.2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3.5" customHeight="1" x14ac:dyDescent="0.2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3.5" customHeight="1" x14ac:dyDescent="0.2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3.5" customHeight="1" x14ac:dyDescent="0.2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3.5" customHeight="1" x14ac:dyDescent="0.2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3.5" customHeight="1" x14ac:dyDescent="0.2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3.5" customHeight="1" x14ac:dyDescent="0.2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3.5" customHeight="1" x14ac:dyDescent="0.2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3.5" customHeight="1" x14ac:dyDescent="0.2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3.5" customHeight="1" x14ac:dyDescent="0.2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3.5" customHeight="1" x14ac:dyDescent="0.2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3.5" customHeight="1" x14ac:dyDescent="0.2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3.5" customHeight="1" x14ac:dyDescent="0.2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3.5" customHeight="1" x14ac:dyDescent="0.2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3.5" customHeight="1" x14ac:dyDescent="0.2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3.5" customHeight="1" x14ac:dyDescent="0.2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3.5" customHeight="1" x14ac:dyDescent="0.2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3.5" customHeight="1" x14ac:dyDescent="0.2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3.5" customHeight="1" x14ac:dyDescent="0.2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3.5" customHeight="1" x14ac:dyDescent="0.2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3.5" customHeight="1" x14ac:dyDescent="0.2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3.5" customHeight="1" x14ac:dyDescent="0.2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3.5" customHeight="1" x14ac:dyDescent="0.2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3.5" customHeight="1" x14ac:dyDescent="0.2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3.5" customHeight="1" x14ac:dyDescent="0.2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3.5" customHeight="1" x14ac:dyDescent="0.2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3.5" customHeight="1" x14ac:dyDescent="0.2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3.5" customHeight="1" x14ac:dyDescent="0.2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3.5" customHeight="1" x14ac:dyDescent="0.2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3.5" customHeight="1" x14ac:dyDescent="0.2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3.5" customHeight="1" x14ac:dyDescent="0.2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3.5" customHeight="1" x14ac:dyDescent="0.2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3.5" customHeight="1" x14ac:dyDescent="0.2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3.5" customHeight="1" x14ac:dyDescent="0.2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3.5" customHeight="1" x14ac:dyDescent="0.2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3.5" customHeight="1" x14ac:dyDescent="0.2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3.5" customHeight="1" x14ac:dyDescent="0.2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3.5" customHeight="1" x14ac:dyDescent="0.2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3.5" customHeight="1" x14ac:dyDescent="0.2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3.5" customHeight="1" x14ac:dyDescent="0.2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3.5" customHeight="1" x14ac:dyDescent="0.2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3.5" customHeight="1" x14ac:dyDescent="0.2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3.5" customHeight="1" x14ac:dyDescent="0.2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3.5" customHeight="1" x14ac:dyDescent="0.2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3.5" customHeight="1" x14ac:dyDescent="0.2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3.5" customHeight="1" x14ac:dyDescent="0.2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3.5" customHeight="1" x14ac:dyDescent="0.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3.5" customHeight="1" x14ac:dyDescent="0.2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3.5" customHeight="1" x14ac:dyDescent="0.2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3.5" customHeight="1" x14ac:dyDescent="0.2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3.5" customHeight="1" x14ac:dyDescent="0.2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3.5" customHeight="1" x14ac:dyDescent="0.2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3.5" customHeight="1" x14ac:dyDescent="0.2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3.5" customHeight="1" x14ac:dyDescent="0.2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3.5" customHeight="1" x14ac:dyDescent="0.2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3.5" customHeight="1" x14ac:dyDescent="0.2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3.5" customHeight="1" x14ac:dyDescent="0.2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3.5" customHeight="1" x14ac:dyDescent="0.2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3.5" customHeight="1" x14ac:dyDescent="0.2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3.5" customHeight="1" x14ac:dyDescent="0.2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3.5" customHeight="1" x14ac:dyDescent="0.2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3.5" customHeight="1" x14ac:dyDescent="0.2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3.5" customHeight="1" x14ac:dyDescent="0.2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3.5" customHeight="1" x14ac:dyDescent="0.2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3.5" customHeight="1" x14ac:dyDescent="0.2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3.5" customHeight="1" x14ac:dyDescent="0.2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3.5" customHeight="1" x14ac:dyDescent="0.2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3.5" customHeight="1" x14ac:dyDescent="0.2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3.5" customHeight="1" x14ac:dyDescent="0.2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3.5" customHeight="1" x14ac:dyDescent="0.2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3.5" customHeight="1" x14ac:dyDescent="0.2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3.5" customHeight="1" x14ac:dyDescent="0.2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3.5" customHeight="1" x14ac:dyDescent="0.2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3.5" customHeight="1" x14ac:dyDescent="0.2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3.5" customHeight="1" x14ac:dyDescent="0.2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3.5" customHeight="1" x14ac:dyDescent="0.2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3.5" customHeight="1" x14ac:dyDescent="0.2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3.5" customHeight="1" x14ac:dyDescent="0.2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3.5" customHeight="1" x14ac:dyDescent="0.2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3.5" customHeight="1" x14ac:dyDescent="0.2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3.5" customHeight="1" x14ac:dyDescent="0.2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3.5" customHeight="1" x14ac:dyDescent="0.2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3.5" customHeight="1" x14ac:dyDescent="0.2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3.5" customHeight="1" x14ac:dyDescent="0.2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3.5" customHeight="1" x14ac:dyDescent="0.2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3.5" customHeight="1" x14ac:dyDescent="0.2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3.5" customHeight="1" x14ac:dyDescent="0.2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3.5" customHeight="1" x14ac:dyDescent="0.2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3.5" customHeight="1" x14ac:dyDescent="0.2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3.5" customHeight="1" x14ac:dyDescent="0.2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3.5" customHeight="1" x14ac:dyDescent="0.2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3.5" customHeight="1" x14ac:dyDescent="0.2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3.5" customHeight="1" x14ac:dyDescent="0.2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3.5" customHeight="1" x14ac:dyDescent="0.2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3.5" customHeight="1" x14ac:dyDescent="0.2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3.5" customHeight="1" x14ac:dyDescent="0.2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3.5" customHeight="1" x14ac:dyDescent="0.2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3.5" customHeight="1" x14ac:dyDescent="0.2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3.5" customHeight="1" x14ac:dyDescent="0.2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3.5" customHeight="1" x14ac:dyDescent="0.2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3.5" customHeight="1" x14ac:dyDescent="0.2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3.5" customHeight="1" x14ac:dyDescent="0.2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3.5" customHeight="1" x14ac:dyDescent="0.2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3.5" customHeight="1" x14ac:dyDescent="0.2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3.5" customHeight="1" x14ac:dyDescent="0.2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3.5" customHeight="1" x14ac:dyDescent="0.2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3.5" customHeight="1" x14ac:dyDescent="0.2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3.5" customHeight="1" x14ac:dyDescent="0.2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3.5" customHeight="1" x14ac:dyDescent="0.2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3.5" customHeight="1" x14ac:dyDescent="0.2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3.5" customHeight="1" x14ac:dyDescent="0.2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3.5" customHeight="1" x14ac:dyDescent="0.2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3.5" customHeight="1" x14ac:dyDescent="0.2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3.5" customHeight="1" x14ac:dyDescent="0.2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3.5" customHeight="1" x14ac:dyDescent="0.2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3.5" customHeight="1" x14ac:dyDescent="0.2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3.5" customHeight="1" x14ac:dyDescent="0.2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3.5" customHeight="1" x14ac:dyDescent="0.2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3.5" customHeight="1" x14ac:dyDescent="0.2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3.5" customHeight="1" x14ac:dyDescent="0.2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3.5" customHeight="1" x14ac:dyDescent="0.2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3.5" customHeight="1" x14ac:dyDescent="0.2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3.5" customHeight="1" x14ac:dyDescent="0.2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3.5" customHeight="1" x14ac:dyDescent="0.2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3.5" customHeight="1" x14ac:dyDescent="0.2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3.5" customHeight="1" x14ac:dyDescent="0.2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3.5" customHeight="1" x14ac:dyDescent="0.2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3.5" customHeight="1" x14ac:dyDescent="0.2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3.5" customHeight="1" x14ac:dyDescent="0.2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3.5" customHeight="1" x14ac:dyDescent="0.2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3.5" customHeight="1" x14ac:dyDescent="0.2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3.5" customHeight="1" x14ac:dyDescent="0.2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3.5" customHeight="1" x14ac:dyDescent="0.2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3.5" customHeight="1" x14ac:dyDescent="0.2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3.5" customHeight="1" x14ac:dyDescent="0.2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3.5" customHeight="1" x14ac:dyDescent="0.2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3.5" customHeight="1" x14ac:dyDescent="0.2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3.5" customHeight="1" x14ac:dyDescent="0.2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3.5" customHeight="1" x14ac:dyDescent="0.2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3.5" customHeight="1" x14ac:dyDescent="0.2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3.5" customHeight="1" x14ac:dyDescent="0.2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3.5" customHeight="1" x14ac:dyDescent="0.2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3.5" customHeight="1" x14ac:dyDescent="0.2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3.5" customHeight="1" x14ac:dyDescent="0.2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3.5" customHeight="1" x14ac:dyDescent="0.2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3.5" customHeight="1" x14ac:dyDescent="0.2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3.5" customHeight="1" x14ac:dyDescent="0.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3.5" customHeight="1" x14ac:dyDescent="0.2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3.5" customHeight="1" x14ac:dyDescent="0.2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3.5" customHeight="1" x14ac:dyDescent="0.2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3.5" customHeight="1" x14ac:dyDescent="0.2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3.5" customHeight="1" x14ac:dyDescent="0.2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3.5" customHeight="1" x14ac:dyDescent="0.2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3.5" customHeight="1" x14ac:dyDescent="0.2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3.5" customHeight="1" x14ac:dyDescent="0.2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3.5" customHeight="1" x14ac:dyDescent="0.2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3.5" customHeight="1" x14ac:dyDescent="0.2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3.5" customHeight="1" x14ac:dyDescent="0.2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3.5" customHeight="1" x14ac:dyDescent="0.2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3.5" customHeight="1" x14ac:dyDescent="0.2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3.5" customHeight="1" x14ac:dyDescent="0.2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3.5" customHeight="1" x14ac:dyDescent="0.2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3.5" customHeight="1" x14ac:dyDescent="0.2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3.5" customHeight="1" x14ac:dyDescent="0.2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3.5" customHeight="1" x14ac:dyDescent="0.2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3.5" customHeight="1" x14ac:dyDescent="0.2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3.5" customHeight="1" x14ac:dyDescent="0.2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3.5" customHeight="1" x14ac:dyDescent="0.2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3.5" customHeight="1" x14ac:dyDescent="0.2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3.5" customHeight="1" x14ac:dyDescent="0.2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3.5" customHeight="1" x14ac:dyDescent="0.2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3.5" customHeight="1" x14ac:dyDescent="0.2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3.5" customHeight="1" x14ac:dyDescent="0.2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3.5" customHeight="1" x14ac:dyDescent="0.2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3.5" customHeight="1" x14ac:dyDescent="0.2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3.5" customHeight="1" x14ac:dyDescent="0.2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3.5" customHeight="1" x14ac:dyDescent="0.2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3.5" customHeight="1" x14ac:dyDescent="0.2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3.5" customHeight="1" x14ac:dyDescent="0.2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3.5" customHeight="1" x14ac:dyDescent="0.2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3.5" customHeight="1" x14ac:dyDescent="0.2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3.5" customHeight="1" x14ac:dyDescent="0.2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3.5" customHeight="1" x14ac:dyDescent="0.2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3.5" customHeight="1" x14ac:dyDescent="0.2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3.5" customHeight="1" x14ac:dyDescent="0.2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3.5" customHeight="1" x14ac:dyDescent="0.2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3.5" customHeight="1" x14ac:dyDescent="0.2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3.5" customHeight="1" x14ac:dyDescent="0.2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3.5" customHeight="1" x14ac:dyDescent="0.2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3.5" customHeight="1" x14ac:dyDescent="0.2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3.5" customHeight="1" x14ac:dyDescent="0.2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3.5" customHeight="1" x14ac:dyDescent="0.2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3.5" customHeight="1" x14ac:dyDescent="0.2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3.5" customHeight="1" x14ac:dyDescent="0.2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3.5" customHeight="1" x14ac:dyDescent="0.2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3.5" customHeight="1" x14ac:dyDescent="0.2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3.5" customHeight="1" x14ac:dyDescent="0.2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3.5" customHeight="1" x14ac:dyDescent="0.2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3.5" customHeight="1" x14ac:dyDescent="0.2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3.5" customHeight="1" x14ac:dyDescent="0.2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3.5" customHeight="1" x14ac:dyDescent="0.2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3.5" customHeight="1" x14ac:dyDescent="0.2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3.5" customHeight="1" x14ac:dyDescent="0.2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3.5" customHeight="1" x14ac:dyDescent="0.2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3.5" customHeight="1" x14ac:dyDescent="0.2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3.5" customHeight="1" x14ac:dyDescent="0.2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3.5" customHeight="1" x14ac:dyDescent="0.2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3.5" customHeight="1" x14ac:dyDescent="0.2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3.5" customHeight="1" x14ac:dyDescent="0.2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3.5" customHeight="1" x14ac:dyDescent="0.2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3.5" customHeight="1" x14ac:dyDescent="0.2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3.5" customHeight="1" x14ac:dyDescent="0.2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3.5" customHeight="1" x14ac:dyDescent="0.2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3.5" customHeight="1" x14ac:dyDescent="0.2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3.5" customHeight="1" x14ac:dyDescent="0.2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3.5" customHeight="1" x14ac:dyDescent="0.2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3.5" customHeight="1" x14ac:dyDescent="0.2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3.5" customHeight="1" x14ac:dyDescent="0.2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3.5" customHeight="1" x14ac:dyDescent="0.2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3.5" customHeight="1" x14ac:dyDescent="0.2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3.5" customHeight="1" x14ac:dyDescent="0.2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3.5" customHeight="1" x14ac:dyDescent="0.2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3.5" customHeight="1" x14ac:dyDescent="0.2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3.5" customHeight="1" x14ac:dyDescent="0.2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3.5" customHeight="1" x14ac:dyDescent="0.2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3.5" customHeight="1" x14ac:dyDescent="0.2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3.5" customHeight="1" x14ac:dyDescent="0.2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3.5" customHeight="1" x14ac:dyDescent="0.2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3.5" customHeight="1" x14ac:dyDescent="0.2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3.5" customHeight="1" x14ac:dyDescent="0.2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3.5" customHeight="1" x14ac:dyDescent="0.2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3.5" customHeight="1" x14ac:dyDescent="0.2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3.5" customHeight="1" x14ac:dyDescent="0.2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3.5" customHeight="1" x14ac:dyDescent="0.2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3.5" customHeight="1" x14ac:dyDescent="0.2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3.5" customHeight="1" x14ac:dyDescent="0.2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3.5" customHeight="1" x14ac:dyDescent="0.2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3.5" customHeight="1" x14ac:dyDescent="0.2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3.5" customHeight="1" x14ac:dyDescent="0.2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3.5" customHeight="1" x14ac:dyDescent="0.2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3.5" customHeight="1" x14ac:dyDescent="0.2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3.5" customHeight="1" x14ac:dyDescent="0.2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3.5" customHeight="1" x14ac:dyDescent="0.2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3.5" customHeight="1" x14ac:dyDescent="0.2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3.5" customHeight="1" x14ac:dyDescent="0.2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3.5" customHeight="1" x14ac:dyDescent="0.2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3.5" customHeight="1" x14ac:dyDescent="0.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3.5" customHeight="1" x14ac:dyDescent="0.2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3.5" customHeight="1" x14ac:dyDescent="0.2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3.5" customHeight="1" x14ac:dyDescent="0.2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3.5" customHeight="1" x14ac:dyDescent="0.2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3.5" customHeight="1" x14ac:dyDescent="0.2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3.5" customHeight="1" x14ac:dyDescent="0.2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3.5" customHeight="1" x14ac:dyDescent="0.2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3.5" customHeight="1" x14ac:dyDescent="0.2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3.5" customHeight="1" x14ac:dyDescent="0.2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3.5" customHeight="1" x14ac:dyDescent="0.2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3.5" customHeight="1" x14ac:dyDescent="0.2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3.5" customHeight="1" x14ac:dyDescent="0.2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3.5" customHeight="1" x14ac:dyDescent="0.2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3.5" customHeight="1" x14ac:dyDescent="0.2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3.5" customHeight="1" x14ac:dyDescent="0.2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3.5" customHeight="1" x14ac:dyDescent="0.2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3.5" customHeight="1" x14ac:dyDescent="0.2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3.5" customHeight="1" x14ac:dyDescent="0.2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3.5" customHeight="1" x14ac:dyDescent="0.2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3.5" customHeight="1" x14ac:dyDescent="0.2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3.5" customHeight="1" x14ac:dyDescent="0.2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3.5" customHeight="1" x14ac:dyDescent="0.2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3.5" customHeight="1" x14ac:dyDescent="0.2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3.5" customHeight="1" x14ac:dyDescent="0.2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3.5" customHeight="1" x14ac:dyDescent="0.2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3.5" customHeight="1" x14ac:dyDescent="0.2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3.5" customHeight="1" x14ac:dyDescent="0.2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3.5" customHeight="1" x14ac:dyDescent="0.2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3.5" customHeight="1" x14ac:dyDescent="0.2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3.5" customHeight="1" x14ac:dyDescent="0.2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3.5" customHeight="1" x14ac:dyDescent="0.2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3.5" customHeight="1" x14ac:dyDescent="0.2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3.5" customHeight="1" x14ac:dyDescent="0.2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3.5" customHeight="1" x14ac:dyDescent="0.2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3.5" customHeight="1" x14ac:dyDescent="0.2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3.5" customHeight="1" x14ac:dyDescent="0.2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3.5" customHeight="1" x14ac:dyDescent="0.2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3.5" customHeight="1" x14ac:dyDescent="0.2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3.5" customHeight="1" x14ac:dyDescent="0.2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3.5" customHeight="1" x14ac:dyDescent="0.2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3.5" customHeight="1" x14ac:dyDescent="0.2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3.5" customHeight="1" x14ac:dyDescent="0.2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3.5" customHeight="1" x14ac:dyDescent="0.2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3.5" customHeight="1" x14ac:dyDescent="0.2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3.5" customHeight="1" x14ac:dyDescent="0.2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3.5" customHeight="1" x14ac:dyDescent="0.2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3.5" customHeight="1" x14ac:dyDescent="0.2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3.5" customHeight="1" x14ac:dyDescent="0.2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3.5" customHeight="1" x14ac:dyDescent="0.2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3.5" customHeight="1" x14ac:dyDescent="0.2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3.5" customHeight="1" x14ac:dyDescent="0.2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3.5" customHeight="1" x14ac:dyDescent="0.2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3.5" customHeight="1" x14ac:dyDescent="0.2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3.5" customHeight="1" x14ac:dyDescent="0.2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3.5" customHeight="1" x14ac:dyDescent="0.2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3.5" customHeight="1" x14ac:dyDescent="0.2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3.5" customHeight="1" x14ac:dyDescent="0.2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3.5" customHeight="1" x14ac:dyDescent="0.2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3.5" customHeight="1" x14ac:dyDescent="0.2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3.5" customHeight="1" x14ac:dyDescent="0.2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3.5" customHeight="1" x14ac:dyDescent="0.2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3.5" customHeight="1" x14ac:dyDescent="0.2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3.5" customHeight="1" x14ac:dyDescent="0.2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3.5" customHeight="1" x14ac:dyDescent="0.2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3.5" customHeight="1" x14ac:dyDescent="0.2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3.5" customHeight="1" x14ac:dyDescent="0.2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3.5" customHeight="1" x14ac:dyDescent="0.2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3.5" customHeight="1" x14ac:dyDescent="0.2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3.5" customHeight="1" x14ac:dyDescent="0.2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3.5" customHeight="1" x14ac:dyDescent="0.2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3.5" customHeight="1" x14ac:dyDescent="0.2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3.5" customHeight="1" x14ac:dyDescent="0.2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3.5" customHeight="1" x14ac:dyDescent="0.2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3.5" customHeight="1" x14ac:dyDescent="0.2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3.5" customHeight="1" x14ac:dyDescent="0.2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3.5" customHeight="1" x14ac:dyDescent="0.2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3.5" customHeight="1" x14ac:dyDescent="0.2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3.5" customHeight="1" x14ac:dyDescent="0.2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3.5" customHeight="1" x14ac:dyDescent="0.2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3.5" customHeight="1" x14ac:dyDescent="0.2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3.5" customHeight="1" x14ac:dyDescent="0.2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3.5" customHeight="1" x14ac:dyDescent="0.2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3.5" customHeight="1" x14ac:dyDescent="0.2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3.5" customHeight="1" x14ac:dyDescent="0.2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3.5" customHeight="1" x14ac:dyDescent="0.2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3.5" customHeight="1" x14ac:dyDescent="0.2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3.5" customHeight="1" x14ac:dyDescent="0.2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3.5" customHeight="1" x14ac:dyDescent="0.2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3.5" customHeight="1" x14ac:dyDescent="0.2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3.5" customHeight="1" x14ac:dyDescent="0.2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3.5" customHeight="1" x14ac:dyDescent="0.2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3.5" customHeight="1" x14ac:dyDescent="0.2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3.5" customHeight="1" x14ac:dyDescent="0.2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3.5" customHeight="1" x14ac:dyDescent="0.2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3.5" customHeight="1" x14ac:dyDescent="0.2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3.5" customHeight="1" x14ac:dyDescent="0.2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3.5" customHeight="1" x14ac:dyDescent="0.2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3.5" customHeight="1" x14ac:dyDescent="0.2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3.5" customHeight="1" x14ac:dyDescent="0.2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3.5" customHeight="1" x14ac:dyDescent="0.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3.5" customHeight="1" x14ac:dyDescent="0.2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3.5" customHeight="1" x14ac:dyDescent="0.2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3.5" customHeight="1" x14ac:dyDescent="0.2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3.5" customHeight="1" x14ac:dyDescent="0.2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3.5" customHeight="1" x14ac:dyDescent="0.2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3.5" customHeight="1" x14ac:dyDescent="0.2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3.5" customHeight="1" x14ac:dyDescent="0.2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3.5" customHeight="1" x14ac:dyDescent="0.2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3.5" customHeight="1" x14ac:dyDescent="0.2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3.5" customHeight="1" x14ac:dyDescent="0.2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3.5" customHeight="1" x14ac:dyDescent="0.2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3.5" customHeight="1" x14ac:dyDescent="0.2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3.5" customHeight="1" x14ac:dyDescent="0.2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3.5" customHeight="1" x14ac:dyDescent="0.2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3.5" customHeight="1" x14ac:dyDescent="0.2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3.5" customHeight="1" x14ac:dyDescent="0.2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3.5" customHeight="1" x14ac:dyDescent="0.2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3.5" customHeight="1" x14ac:dyDescent="0.2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3.5" customHeight="1" x14ac:dyDescent="0.2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3.5" customHeight="1" x14ac:dyDescent="0.2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3.5" customHeight="1" x14ac:dyDescent="0.2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3.5" customHeight="1" x14ac:dyDescent="0.2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3.5" customHeight="1" x14ac:dyDescent="0.2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3.5" customHeight="1" x14ac:dyDescent="0.2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3.5" customHeight="1" x14ac:dyDescent="0.2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3.5" customHeight="1" x14ac:dyDescent="0.2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3.5" customHeight="1" x14ac:dyDescent="0.2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3.5" customHeight="1" x14ac:dyDescent="0.2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3.5" customHeight="1" x14ac:dyDescent="0.2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3.5" customHeight="1" x14ac:dyDescent="0.2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3.5" customHeight="1" x14ac:dyDescent="0.2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3.5" customHeight="1" x14ac:dyDescent="0.2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3.5" customHeight="1" x14ac:dyDescent="0.2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3.5" customHeight="1" x14ac:dyDescent="0.2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3.5" customHeight="1" x14ac:dyDescent="0.2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3.5" customHeight="1" x14ac:dyDescent="0.2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3.5" customHeight="1" x14ac:dyDescent="0.2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3.5" customHeight="1" x14ac:dyDescent="0.2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3.5" customHeight="1" x14ac:dyDescent="0.2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3.5" customHeight="1" x14ac:dyDescent="0.2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3.5" customHeight="1" x14ac:dyDescent="0.2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3.5" customHeight="1" x14ac:dyDescent="0.2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3.5" customHeight="1" x14ac:dyDescent="0.2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3.5" customHeight="1" x14ac:dyDescent="0.2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3.5" customHeight="1" x14ac:dyDescent="0.2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3.5" customHeight="1" x14ac:dyDescent="0.2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3.5" customHeight="1" x14ac:dyDescent="0.2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3.5" customHeight="1" x14ac:dyDescent="0.2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3.5" customHeight="1" x14ac:dyDescent="0.2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3.5" customHeight="1" x14ac:dyDescent="0.2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3.5" customHeight="1" x14ac:dyDescent="0.2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3.5" customHeight="1" x14ac:dyDescent="0.2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3.5" customHeight="1" x14ac:dyDescent="0.2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3.5" customHeight="1" x14ac:dyDescent="0.2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3.5" customHeight="1" x14ac:dyDescent="0.2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3.5" customHeight="1" x14ac:dyDescent="0.2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3.5" customHeight="1" x14ac:dyDescent="0.2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3.5" customHeight="1" x14ac:dyDescent="0.2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3.5" customHeight="1" x14ac:dyDescent="0.2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3.5" customHeight="1" x14ac:dyDescent="0.2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3.5" customHeight="1" x14ac:dyDescent="0.2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3.5" customHeight="1" x14ac:dyDescent="0.2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3.5" customHeight="1" x14ac:dyDescent="0.2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3.5" customHeight="1" x14ac:dyDescent="0.2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3.5" customHeight="1" x14ac:dyDescent="0.25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3.5" customHeight="1" x14ac:dyDescent="0.25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3.5" customHeight="1" x14ac:dyDescent="0.25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3.5" customHeight="1" x14ac:dyDescent="0.25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3.5" customHeight="1" x14ac:dyDescent="0.25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3.5" customHeight="1" x14ac:dyDescent="0.2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3.5" customHeight="1" x14ac:dyDescent="0.25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13.5" customHeight="1" x14ac:dyDescent="0.25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13.5" customHeight="1" x14ac:dyDescent="0.25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13.5" customHeight="1" x14ac:dyDescent="0.25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13.5" customHeight="1" x14ac:dyDescent="0.25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9">
    <mergeCell ref="B3:B4"/>
    <mergeCell ref="A11:B11"/>
    <mergeCell ref="A2:H2"/>
    <mergeCell ref="A3:A4"/>
    <mergeCell ref="C3:D3"/>
    <mergeCell ref="E3:E4"/>
    <mergeCell ref="F3:F4"/>
    <mergeCell ref="G3:G4"/>
    <mergeCell ref="H3:H4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U16" sqref="U16"/>
    </sheetView>
  </sheetViews>
  <sheetFormatPr defaultColWidth="14.42578125" defaultRowHeight="15" customHeight="1" x14ac:dyDescent="0.25"/>
  <cols>
    <col min="1" max="1" width="8.7109375" customWidth="1"/>
    <col min="2" max="2" width="14.28515625" customWidth="1"/>
    <col min="3" max="3" width="17.28515625" customWidth="1"/>
    <col min="4" max="7" width="8.7109375" customWidth="1"/>
    <col min="8" max="8" width="12" customWidth="1"/>
    <col min="9" max="9" width="11.28515625" customWidth="1"/>
    <col min="10" max="26" width="8.7109375" customWidth="1"/>
  </cols>
  <sheetData>
    <row r="1" spans="1:26" ht="13.5" customHeight="1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3.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3.5" customHeight="1" x14ac:dyDescent="0.25">
      <c r="A3" s="54" t="s">
        <v>101</v>
      </c>
      <c r="B3" s="55"/>
      <c r="C3" s="55"/>
      <c r="D3" s="55"/>
      <c r="E3" s="55"/>
      <c r="F3" s="55"/>
      <c r="G3" s="55"/>
      <c r="H3" s="55"/>
      <c r="I3" s="55"/>
      <c r="J3" s="56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57.75" customHeight="1" x14ac:dyDescent="0.25">
      <c r="A4" s="28" t="s">
        <v>102</v>
      </c>
      <c r="B4" s="18" t="s">
        <v>103</v>
      </c>
      <c r="C4" s="28" t="s">
        <v>104</v>
      </c>
      <c r="D4" s="28" t="s">
        <v>105</v>
      </c>
      <c r="E4" s="18" t="s">
        <v>106</v>
      </c>
      <c r="F4" s="18" t="s">
        <v>107</v>
      </c>
      <c r="G4" s="28" t="s">
        <v>108</v>
      </c>
      <c r="H4" s="28" t="s">
        <v>109</v>
      </c>
      <c r="I4" s="28" t="s">
        <v>110</v>
      </c>
      <c r="J4" s="28" t="s">
        <v>111</v>
      </c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3.5" customHeight="1" x14ac:dyDescent="0.25">
      <c r="A5" s="29">
        <v>1</v>
      </c>
      <c r="B5" s="11" t="s">
        <v>112</v>
      </c>
      <c r="C5" s="29" t="s">
        <v>113</v>
      </c>
      <c r="D5" s="29"/>
      <c r="E5" s="30">
        <v>7</v>
      </c>
      <c r="F5" s="30">
        <v>3</v>
      </c>
      <c r="G5" s="31"/>
      <c r="H5" s="31"/>
      <c r="I5" s="31"/>
      <c r="J5" s="29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3.5" customHeight="1" x14ac:dyDescent="0.25">
      <c r="A6" s="29">
        <v>2</v>
      </c>
      <c r="B6" s="11" t="s">
        <v>114</v>
      </c>
      <c r="C6" s="29" t="s">
        <v>115</v>
      </c>
      <c r="D6" s="29"/>
      <c r="E6" s="30">
        <v>4</v>
      </c>
      <c r="F6" s="30">
        <v>7</v>
      </c>
      <c r="G6" s="31"/>
      <c r="H6" s="31"/>
      <c r="I6" s="31"/>
      <c r="J6" s="29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3.5" customHeight="1" x14ac:dyDescent="0.25">
      <c r="A7" s="29">
        <v>3</v>
      </c>
      <c r="B7" s="11" t="s">
        <v>116</v>
      </c>
      <c r="C7" s="29" t="s">
        <v>117</v>
      </c>
      <c r="D7" s="29"/>
      <c r="E7" s="30">
        <v>7</v>
      </c>
      <c r="F7" s="30">
        <v>6</v>
      </c>
      <c r="G7" s="31"/>
      <c r="H7" s="31"/>
      <c r="I7" s="31"/>
      <c r="J7" s="29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3.5" customHeight="1" x14ac:dyDescent="0.25">
      <c r="A8" s="29">
        <v>4</v>
      </c>
      <c r="B8" s="11" t="s">
        <v>118</v>
      </c>
      <c r="C8" s="29" t="s">
        <v>119</v>
      </c>
      <c r="D8" s="29"/>
      <c r="E8" s="30">
        <v>6</v>
      </c>
      <c r="F8" s="30">
        <v>6.5</v>
      </c>
      <c r="G8" s="31"/>
      <c r="H8" s="31"/>
      <c r="I8" s="31"/>
      <c r="J8" s="29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3.5" customHeight="1" x14ac:dyDescent="0.25">
      <c r="A9" s="32"/>
      <c r="B9" s="32"/>
      <c r="C9" s="32"/>
      <c r="D9" s="32"/>
      <c r="E9" s="32"/>
      <c r="F9" s="32"/>
      <c r="G9" s="32"/>
      <c r="H9" s="32"/>
      <c r="I9" s="32"/>
      <c r="J9" s="32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3.5" customHeight="1" x14ac:dyDescent="0.25">
      <c r="A10" s="33"/>
      <c r="B10" s="33"/>
      <c r="C10" s="33"/>
      <c r="D10" s="33"/>
      <c r="E10" s="33"/>
      <c r="F10" s="33"/>
      <c r="G10" s="57" t="s">
        <v>120</v>
      </c>
      <c r="H10" s="43"/>
      <c r="I10" s="34"/>
      <c r="J10" s="35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3.5" customHeight="1" x14ac:dyDescent="0.25">
      <c r="A11" s="58" t="s">
        <v>121</v>
      </c>
      <c r="B11" s="36" t="s">
        <v>122</v>
      </c>
      <c r="C11" s="29" t="s">
        <v>123</v>
      </c>
      <c r="D11" s="29" t="s">
        <v>124</v>
      </c>
      <c r="E11" s="29" t="s">
        <v>125</v>
      </c>
      <c r="F11" s="33"/>
      <c r="G11" s="37" t="s">
        <v>126</v>
      </c>
      <c r="H11" s="38" t="s">
        <v>95</v>
      </c>
      <c r="I11" s="2"/>
      <c r="J11" s="2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3.5" customHeight="1" x14ac:dyDescent="0.25">
      <c r="A12" s="49"/>
      <c r="B12" s="36" t="s">
        <v>127</v>
      </c>
      <c r="C12" s="29" t="s">
        <v>128</v>
      </c>
      <c r="D12" s="29" t="s">
        <v>129</v>
      </c>
      <c r="E12" s="29" t="s">
        <v>130</v>
      </c>
      <c r="F12" s="33"/>
      <c r="G12" s="11">
        <v>1</v>
      </c>
      <c r="H12" s="11">
        <v>2</v>
      </c>
      <c r="I12" s="2"/>
      <c r="J12" s="2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3.5" customHeight="1" x14ac:dyDescent="0.25">
      <c r="A13" s="33"/>
      <c r="B13" s="33"/>
      <c r="C13" s="33"/>
      <c r="D13" s="33"/>
      <c r="E13" s="33"/>
      <c r="F13" s="33"/>
      <c r="G13" s="11">
        <v>2</v>
      </c>
      <c r="H13" s="11">
        <v>1.5</v>
      </c>
      <c r="I13" s="2"/>
      <c r="J13" s="2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3.5" customHeight="1" x14ac:dyDescent="0.25">
      <c r="A14" s="33"/>
      <c r="B14" s="33"/>
      <c r="C14" s="33"/>
      <c r="D14" s="33"/>
      <c r="E14" s="33"/>
      <c r="F14" s="33"/>
      <c r="G14" s="11">
        <v>3</v>
      </c>
      <c r="H14" s="11">
        <v>1</v>
      </c>
      <c r="I14" s="2"/>
      <c r="J14" s="2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3.5" customHeight="1" x14ac:dyDescent="0.25">
      <c r="A15" s="33"/>
      <c r="B15" s="33"/>
      <c r="C15" s="33"/>
      <c r="D15" s="33"/>
      <c r="E15" s="33"/>
      <c r="F15" s="33"/>
      <c r="G15" s="11">
        <v>4</v>
      </c>
      <c r="H15" s="11">
        <v>0</v>
      </c>
      <c r="I15" s="2"/>
      <c r="J15" s="2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3.5" customHeight="1" x14ac:dyDescent="0.25">
      <c r="A16" s="23"/>
      <c r="B16" s="23"/>
      <c r="C16" s="23"/>
      <c r="D16" s="23"/>
      <c r="E16" s="23"/>
      <c r="F16" s="23"/>
      <c r="G16" s="2"/>
      <c r="H16" s="2"/>
      <c r="I16" s="2"/>
      <c r="J16" s="2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3.5" customHeight="1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3.5" customHeight="1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3.5" customHeight="1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3.5" customHeight="1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3.5" customHeight="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3.5" customHeight="1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3.5" customHeight="1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3.5" customHeight="1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3.5" customHeight="1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3.5" customHeight="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3.5" customHeight="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3.5" customHeight="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3.5" customHeight="1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3.5" customHeight="1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3.5" customHeight="1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3.5" customHeight="1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3.5" customHeight="1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3.5" customHeight="1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3.5" customHeight="1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3.5" customHeight="1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3.5" customHeight="1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3.5" customHeight="1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3.5" customHeight="1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3.5" customHeight="1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3.5" customHeight="1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3.5" customHeight="1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3.5" customHeight="1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3.5" customHeight="1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3.5" customHeight="1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3.5" customHeight="1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3.5" customHeight="1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3.5" customHeight="1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3.5" customHeight="1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3.5" customHeight="1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3.5" customHeight="1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3.5" customHeight="1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3.5" customHeight="1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3.5" customHeight="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3.5" customHeight="1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3.5" customHeight="1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3.5" customHeight="1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3.5" customHeight="1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3.5" customHeigh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3.5" customHeight="1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3.5" customHeight="1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3.5" customHeight="1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3.5" customHeight="1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3.5" customHeight="1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3.5" customHeight="1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3.5" customHeight="1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3.5" customHeight="1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3.5" customHeight="1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3.5" customHeight="1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3.5" customHeight="1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3.5" customHeight="1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3.5" customHeight="1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3.5" customHeight="1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3.5" customHeight="1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3.5" customHeight="1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3.5" customHeight="1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3.5" customHeight="1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3.5" customHeight="1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3.5" customHeight="1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3.5" customHeight="1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3.5" customHeight="1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3.5" customHeight="1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3.5" customHeight="1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3.5" customHeight="1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3.5" customHeight="1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3.5" customHeight="1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3.5" customHeight="1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3.5" customHeight="1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3.5" customHeight="1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3.5" customHeight="1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3.5" customHeight="1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3.5" customHeight="1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3.5" customHeight="1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3.5" customHeight="1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3.5" customHeight="1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3.5" customHeight="1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3.5" customHeight="1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3.5" customHeight="1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3.5" customHeight="1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3.5" customHeight="1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3.5" customHeight="1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3.5" customHeight="1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3.5" customHeight="1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3.5" customHeight="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3.5" customHeight="1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3.5" customHeight="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3.5" customHeight="1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3.5" customHeight="1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3.5" customHeight="1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3.5" customHeight="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3.5" customHeight="1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3.5" customHeight="1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3.5" customHeight="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3.5" customHeight="1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3.5" customHeight="1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3.5" customHeight="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3.5" customHeight="1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3.5" customHeight="1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3.5" customHeight="1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3.5" customHeight="1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3.5" customHeight="1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3.5" customHeight="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3.5" customHeight="1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3.5" customHeight="1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3.5" customHeight="1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3.5" customHeight="1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3.5" customHeight="1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3.5" customHeight="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3.5" customHeight="1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3.5" customHeight="1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3.5" customHeight="1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3.5" customHeight="1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3.5" customHeight="1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3.5" customHeight="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3.5" customHeight="1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3.5" customHeight="1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3.5" customHeight="1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3.5" customHeight="1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3.5" customHeight="1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3.5" customHeight="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3.5" customHeight="1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3.5" customHeight="1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3.5" customHeight="1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3.5" customHeight="1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3.5" customHeight="1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3.5" customHeight="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3.5" customHeight="1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3.5" customHeight="1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3.5" customHeight="1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3.5" customHeight="1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3.5" customHeight="1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3.5" customHeight="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3.5" customHeight="1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3.5" customHeight="1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3.5" customHeight="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3.5" customHeight="1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3.5" customHeight="1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3.5" customHeight="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3.5" customHeight="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3.5" customHeight="1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3.5" customHeight="1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3.5" customHeight="1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3.5" customHeight="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3.5" customHeight="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3.5" customHeight="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3.5" customHeight="1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3.5" customHeight="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3.5" customHeight="1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3.5" customHeight="1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3.5" customHeight="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3.5" customHeight="1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3.5" customHeight="1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3.5" customHeight="1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3.5" customHeight="1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3.5" customHeight="1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3.5" customHeight="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3.5" customHeight="1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3.5" customHeight="1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3.5" customHeight="1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3.5" customHeight="1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3.5" customHeight="1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3.5" customHeight="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3.5" customHeight="1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3.5" customHeight="1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3.5" customHeight="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3.5" customHeight="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3.5" customHeight="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3.5" customHeight="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3.5" customHeight="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3.5" customHeight="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3.5" customHeight="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3.5" customHeight="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3.5" customHeight="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3.5" customHeight="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3.5" customHeight="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3.5" customHeight="1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3.5" customHeight="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3.5" customHeight="1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3.5" customHeight="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3.5" customHeight="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3.5" customHeight="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3.5" customHeight="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3.5" customHeight="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3.5" customHeight="1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3.5" customHeight="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3.5" customHeight="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3.5" customHeight="1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3.5" customHeight="1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3.5" customHeight="1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3.5" customHeight="1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3.5" customHeight="1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3.5" customHeight="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3.5" customHeight="1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3.5" customHeight="1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3.5" customHeight="1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3.5" customHeight="1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3.5" customHeight="1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3.5" customHeight="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3.5" customHeight="1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3.5" customHeight="1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3.5" customHeight="1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3.5" customHeight="1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3.5" customHeight="1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3.5" customHeight="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3.5" customHeight="1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3.5" customHeight="1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3.5" customHeight="1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3.5" customHeight="1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3.5" customHeight="1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3.5" customHeight="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3.5" customHeight="1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3.5" customHeight="1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3.5" customHeight="1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3.5" customHeight="1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3.5" customHeight="1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3.5" customHeight="1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3.5" customHeight="1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3.5" customHeight="1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3.5" customHeight="1" x14ac:dyDescent="0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3.5" customHeight="1" x14ac:dyDescent="0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3.5" customHeight="1" x14ac:dyDescent="0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3.5" customHeight="1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3.5" customHeight="1" x14ac:dyDescent="0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3.5" customHeight="1" x14ac:dyDescent="0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3.5" customHeight="1" x14ac:dyDescent="0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3.5" customHeight="1" x14ac:dyDescent="0.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3.5" customHeight="1" x14ac:dyDescent="0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3.5" customHeight="1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3.5" customHeight="1" x14ac:dyDescent="0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3.5" customHeight="1" x14ac:dyDescent="0.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3.5" customHeight="1" x14ac:dyDescent="0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3.5" customHeight="1" x14ac:dyDescent="0.2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3.5" customHeight="1" x14ac:dyDescent="0.2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3.5" customHeight="1" x14ac:dyDescent="0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3.5" customHeight="1" x14ac:dyDescent="0.2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3.5" customHeight="1" x14ac:dyDescent="0.2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3.5" customHeight="1" x14ac:dyDescent="0.2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3.5" customHeight="1" x14ac:dyDescent="0.2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3.5" customHeight="1" x14ac:dyDescent="0.2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3.5" customHeight="1" x14ac:dyDescent="0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3.5" customHeight="1" x14ac:dyDescent="0.2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3.5" customHeight="1" x14ac:dyDescent="0.2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3.5" customHeight="1" x14ac:dyDescent="0.2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3.5" customHeight="1" x14ac:dyDescent="0.2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3.5" customHeight="1" x14ac:dyDescent="0.2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3.5" customHeight="1" x14ac:dyDescent="0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3.5" customHeight="1" x14ac:dyDescent="0.2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3.5" customHeight="1" x14ac:dyDescent="0.2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3.5" customHeight="1" x14ac:dyDescent="0.2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3.5" customHeight="1" x14ac:dyDescent="0.2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3.5" customHeight="1" x14ac:dyDescent="0.2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3.5" customHeight="1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3.5" customHeight="1" x14ac:dyDescent="0.2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3.5" customHeight="1" x14ac:dyDescent="0.2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3.5" customHeight="1" x14ac:dyDescent="0.2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3.5" customHeight="1" x14ac:dyDescent="0.2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3.5" customHeight="1" x14ac:dyDescent="0.2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3.5" customHeight="1" x14ac:dyDescent="0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3.5" customHeight="1" x14ac:dyDescent="0.2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3.5" customHeight="1" x14ac:dyDescent="0.2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3.5" customHeight="1" x14ac:dyDescent="0.2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3.5" customHeight="1" x14ac:dyDescent="0.2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3.5" customHeight="1" x14ac:dyDescent="0.2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3.5" customHeight="1" x14ac:dyDescent="0.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3.5" customHeight="1" x14ac:dyDescent="0.2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3.5" customHeight="1" x14ac:dyDescent="0.2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3.5" customHeight="1" x14ac:dyDescent="0.2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3.5" customHeight="1" x14ac:dyDescent="0.2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3.5" customHeight="1" x14ac:dyDescent="0.2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3.5" customHeight="1" x14ac:dyDescent="0.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3.5" customHeight="1" x14ac:dyDescent="0.2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3.5" customHeight="1" x14ac:dyDescent="0.2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3.5" customHeight="1" x14ac:dyDescent="0.2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3.5" customHeight="1" x14ac:dyDescent="0.2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3.5" customHeight="1" x14ac:dyDescent="0.2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3.5" customHeight="1" x14ac:dyDescent="0.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3.5" customHeight="1" x14ac:dyDescent="0.2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3.5" customHeight="1" x14ac:dyDescent="0.2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3.5" customHeight="1" x14ac:dyDescent="0.2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3.5" customHeight="1" x14ac:dyDescent="0.2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3.5" customHeight="1" x14ac:dyDescent="0.2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3.5" customHeight="1" x14ac:dyDescent="0.2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3.5" customHeight="1" x14ac:dyDescent="0.2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3.5" customHeight="1" x14ac:dyDescent="0.2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3.5" customHeight="1" x14ac:dyDescent="0.2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3.5" customHeight="1" x14ac:dyDescent="0.2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3.5" customHeight="1" x14ac:dyDescent="0.2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3.5" customHeight="1" x14ac:dyDescent="0.2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3.5" customHeight="1" x14ac:dyDescent="0.2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3.5" customHeight="1" x14ac:dyDescent="0.2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3.5" customHeight="1" x14ac:dyDescent="0.2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3.5" customHeight="1" x14ac:dyDescent="0.2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3.5" customHeight="1" x14ac:dyDescent="0.2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3.5" customHeight="1" x14ac:dyDescent="0.2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3.5" customHeight="1" x14ac:dyDescent="0.2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3.5" customHeight="1" x14ac:dyDescent="0.2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3.5" customHeight="1" x14ac:dyDescent="0.2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3.5" customHeight="1" x14ac:dyDescent="0.2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3.5" customHeight="1" x14ac:dyDescent="0.2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3.5" customHeight="1" x14ac:dyDescent="0.2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3.5" customHeight="1" x14ac:dyDescent="0.2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3.5" customHeight="1" x14ac:dyDescent="0.2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3.5" customHeight="1" x14ac:dyDescent="0.2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3.5" customHeight="1" x14ac:dyDescent="0.2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3.5" customHeight="1" x14ac:dyDescent="0.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3.5" customHeight="1" x14ac:dyDescent="0.2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3.5" customHeight="1" x14ac:dyDescent="0.2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3.5" customHeight="1" x14ac:dyDescent="0.2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3.5" customHeight="1" x14ac:dyDescent="0.2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3.5" customHeight="1" x14ac:dyDescent="0.2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3.5" customHeight="1" x14ac:dyDescent="0.2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3.5" customHeight="1" x14ac:dyDescent="0.2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3.5" customHeight="1" x14ac:dyDescent="0.2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3.5" customHeight="1" x14ac:dyDescent="0.2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3.5" customHeight="1" x14ac:dyDescent="0.2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3.5" customHeight="1" x14ac:dyDescent="0.2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3.5" customHeight="1" x14ac:dyDescent="0.2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3.5" customHeight="1" x14ac:dyDescent="0.2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3.5" customHeight="1" x14ac:dyDescent="0.2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3.5" customHeight="1" x14ac:dyDescent="0.2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3.5" customHeight="1" x14ac:dyDescent="0.2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3.5" customHeight="1" x14ac:dyDescent="0.2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3.5" customHeight="1" x14ac:dyDescent="0.2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3.5" customHeight="1" x14ac:dyDescent="0.2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3.5" customHeight="1" x14ac:dyDescent="0.2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3.5" customHeight="1" x14ac:dyDescent="0.2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3.5" customHeight="1" x14ac:dyDescent="0.2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3.5" customHeight="1" x14ac:dyDescent="0.2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3.5" customHeight="1" x14ac:dyDescent="0.2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3.5" customHeight="1" x14ac:dyDescent="0.2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3.5" customHeight="1" x14ac:dyDescent="0.2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3.5" customHeight="1" x14ac:dyDescent="0.2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3.5" customHeight="1" x14ac:dyDescent="0.2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3.5" customHeight="1" x14ac:dyDescent="0.2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3.5" customHeight="1" x14ac:dyDescent="0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3.5" customHeight="1" x14ac:dyDescent="0.2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3.5" customHeight="1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3.5" customHeight="1" x14ac:dyDescent="0.2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3.5" customHeight="1" x14ac:dyDescent="0.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3.5" customHeight="1" x14ac:dyDescent="0.2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3.5" customHeight="1" x14ac:dyDescent="0.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3.5" customHeight="1" x14ac:dyDescent="0.2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3.5" customHeight="1" x14ac:dyDescent="0.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3.5" customHeight="1" x14ac:dyDescent="0.2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3.5" customHeight="1" x14ac:dyDescent="0.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3.5" customHeight="1" x14ac:dyDescent="0.2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3.5" customHeight="1" x14ac:dyDescent="0.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3.5" customHeight="1" x14ac:dyDescent="0.2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3.5" customHeight="1" x14ac:dyDescent="0.2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3.5" customHeight="1" x14ac:dyDescent="0.2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3.5" customHeight="1" x14ac:dyDescent="0.2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3.5" customHeight="1" x14ac:dyDescent="0.2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3.5" customHeight="1" x14ac:dyDescent="0.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3.5" customHeight="1" x14ac:dyDescent="0.2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3.5" customHeight="1" x14ac:dyDescent="0.2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3.5" customHeight="1" x14ac:dyDescent="0.2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3.5" customHeight="1" x14ac:dyDescent="0.2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3.5" customHeight="1" x14ac:dyDescent="0.2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3.5" customHeight="1" x14ac:dyDescent="0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3.5" customHeight="1" x14ac:dyDescent="0.2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3.5" customHeight="1" x14ac:dyDescent="0.2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3.5" customHeight="1" x14ac:dyDescent="0.2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3.5" customHeight="1" x14ac:dyDescent="0.2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3.5" customHeight="1" x14ac:dyDescent="0.2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3.5" customHeight="1" x14ac:dyDescent="0.2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3.5" customHeight="1" x14ac:dyDescent="0.2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3.5" customHeight="1" x14ac:dyDescent="0.2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3.5" customHeight="1" x14ac:dyDescent="0.2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3.5" customHeight="1" x14ac:dyDescent="0.2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3.5" customHeight="1" x14ac:dyDescent="0.2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3.5" customHeight="1" x14ac:dyDescent="0.2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3.5" customHeight="1" x14ac:dyDescent="0.2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3.5" customHeight="1" x14ac:dyDescent="0.2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3.5" customHeight="1" x14ac:dyDescent="0.2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3.5" customHeight="1" x14ac:dyDescent="0.2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3.5" customHeight="1" x14ac:dyDescent="0.2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3.5" customHeight="1" x14ac:dyDescent="0.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3.5" customHeight="1" x14ac:dyDescent="0.2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3.5" customHeight="1" x14ac:dyDescent="0.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3.5" customHeight="1" x14ac:dyDescent="0.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3.5" customHeight="1" x14ac:dyDescent="0.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3.5" customHeight="1" x14ac:dyDescent="0.2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3.5" customHeight="1" x14ac:dyDescent="0.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3.5" customHeight="1" x14ac:dyDescent="0.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3.5" customHeight="1" x14ac:dyDescent="0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3.5" customHeight="1" x14ac:dyDescent="0.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3.5" customHeight="1" x14ac:dyDescent="0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3.5" customHeight="1" x14ac:dyDescent="0.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3.5" customHeight="1" x14ac:dyDescent="0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3.5" customHeight="1" x14ac:dyDescent="0.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3.5" customHeight="1" x14ac:dyDescent="0.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3.5" customHeight="1" x14ac:dyDescent="0.2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3.5" customHeight="1" x14ac:dyDescent="0.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3.5" customHeight="1" x14ac:dyDescent="0.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3.5" customHeight="1" x14ac:dyDescent="0.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3.5" customHeight="1" x14ac:dyDescent="0.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3.5" customHeight="1" x14ac:dyDescent="0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3.5" customHeight="1" x14ac:dyDescent="0.2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3.5" customHeight="1" x14ac:dyDescent="0.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3.5" customHeight="1" x14ac:dyDescent="0.2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3.5" customHeight="1" x14ac:dyDescent="0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3.5" customHeight="1" x14ac:dyDescent="0.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3.5" customHeight="1" x14ac:dyDescent="0.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3.5" customHeight="1" x14ac:dyDescent="0.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3.5" customHeight="1" x14ac:dyDescent="0.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3.5" customHeight="1" x14ac:dyDescent="0.2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3.5" customHeight="1" x14ac:dyDescent="0.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3.5" customHeight="1" x14ac:dyDescent="0.2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3.5" customHeight="1" x14ac:dyDescent="0.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3.5" customHeight="1" x14ac:dyDescent="0.2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3.5" customHeight="1" x14ac:dyDescent="0.2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3.5" customHeight="1" x14ac:dyDescent="0.2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3.5" customHeight="1" x14ac:dyDescent="0.2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3.5" customHeight="1" x14ac:dyDescent="0.2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3.5" customHeight="1" x14ac:dyDescent="0.2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3.5" customHeight="1" x14ac:dyDescent="0.2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3.5" customHeight="1" x14ac:dyDescent="0.2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3.5" customHeight="1" x14ac:dyDescent="0.2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3.5" customHeight="1" x14ac:dyDescent="0.2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3.5" customHeight="1" x14ac:dyDescent="0.2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3.5" customHeight="1" x14ac:dyDescent="0.2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3.5" customHeight="1" x14ac:dyDescent="0.2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3.5" customHeight="1" x14ac:dyDescent="0.2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3.5" customHeight="1" x14ac:dyDescent="0.2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3.5" customHeight="1" x14ac:dyDescent="0.2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3.5" customHeight="1" x14ac:dyDescent="0.2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3.5" customHeight="1" x14ac:dyDescent="0.2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3.5" customHeight="1" x14ac:dyDescent="0.2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3.5" customHeight="1" x14ac:dyDescent="0.2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3.5" customHeight="1" x14ac:dyDescent="0.2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3.5" customHeight="1" x14ac:dyDescent="0.2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3.5" customHeight="1" x14ac:dyDescent="0.2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3.5" customHeight="1" x14ac:dyDescent="0.2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3.5" customHeight="1" x14ac:dyDescent="0.2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3.5" customHeight="1" x14ac:dyDescent="0.2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3.5" customHeight="1" x14ac:dyDescent="0.2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3.5" customHeight="1" x14ac:dyDescent="0.2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3.5" customHeight="1" x14ac:dyDescent="0.2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3.5" customHeight="1" x14ac:dyDescent="0.2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3.5" customHeight="1" x14ac:dyDescent="0.2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3.5" customHeight="1" x14ac:dyDescent="0.2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3.5" customHeight="1" x14ac:dyDescent="0.2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3.5" customHeight="1" x14ac:dyDescent="0.2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3.5" customHeight="1" x14ac:dyDescent="0.2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3.5" customHeight="1" x14ac:dyDescent="0.2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3.5" customHeight="1" x14ac:dyDescent="0.2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3.5" customHeight="1" x14ac:dyDescent="0.2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3.5" customHeight="1" x14ac:dyDescent="0.2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3.5" customHeight="1" x14ac:dyDescent="0.2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3.5" customHeight="1" x14ac:dyDescent="0.2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3.5" customHeight="1" x14ac:dyDescent="0.2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3.5" customHeight="1" x14ac:dyDescent="0.2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3.5" customHeight="1" x14ac:dyDescent="0.2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3.5" customHeight="1" x14ac:dyDescent="0.2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3.5" customHeight="1" x14ac:dyDescent="0.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3.5" customHeight="1" x14ac:dyDescent="0.2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3.5" customHeight="1" x14ac:dyDescent="0.2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3.5" customHeight="1" x14ac:dyDescent="0.2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3.5" customHeight="1" x14ac:dyDescent="0.2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3.5" customHeight="1" x14ac:dyDescent="0.2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3.5" customHeight="1" x14ac:dyDescent="0.2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3.5" customHeight="1" x14ac:dyDescent="0.2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3.5" customHeight="1" x14ac:dyDescent="0.2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3.5" customHeight="1" x14ac:dyDescent="0.2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3.5" customHeight="1" x14ac:dyDescent="0.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3.5" customHeight="1" x14ac:dyDescent="0.2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3.5" customHeight="1" x14ac:dyDescent="0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3.5" customHeight="1" x14ac:dyDescent="0.2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3.5" customHeight="1" x14ac:dyDescent="0.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3.5" customHeight="1" x14ac:dyDescent="0.2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3.5" customHeight="1" x14ac:dyDescent="0.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3.5" customHeight="1" x14ac:dyDescent="0.2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3.5" customHeight="1" x14ac:dyDescent="0.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3.5" customHeight="1" x14ac:dyDescent="0.2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3.5" customHeight="1" x14ac:dyDescent="0.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3.5" customHeight="1" x14ac:dyDescent="0.2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3.5" customHeight="1" x14ac:dyDescent="0.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3.5" customHeight="1" x14ac:dyDescent="0.2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3.5" customHeight="1" x14ac:dyDescent="0.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3.5" customHeight="1" x14ac:dyDescent="0.2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3.5" customHeight="1" x14ac:dyDescent="0.2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3.5" customHeight="1" x14ac:dyDescent="0.2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3.5" customHeight="1" x14ac:dyDescent="0.2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3.5" customHeight="1" x14ac:dyDescent="0.2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3.5" customHeight="1" x14ac:dyDescent="0.2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3.5" customHeight="1" x14ac:dyDescent="0.2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3.5" customHeight="1" x14ac:dyDescent="0.2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3.5" customHeight="1" x14ac:dyDescent="0.2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3.5" customHeight="1" x14ac:dyDescent="0.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3.5" customHeight="1" x14ac:dyDescent="0.2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3.5" customHeight="1" x14ac:dyDescent="0.2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3.5" customHeight="1" x14ac:dyDescent="0.2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3.5" customHeight="1" x14ac:dyDescent="0.2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3.5" customHeight="1" x14ac:dyDescent="0.2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3.5" customHeight="1" x14ac:dyDescent="0.2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3.5" customHeight="1" x14ac:dyDescent="0.2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3.5" customHeight="1" x14ac:dyDescent="0.2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3.5" customHeight="1" x14ac:dyDescent="0.2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3.5" customHeight="1" x14ac:dyDescent="0.2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3.5" customHeight="1" x14ac:dyDescent="0.2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3.5" customHeight="1" x14ac:dyDescent="0.2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3.5" customHeight="1" x14ac:dyDescent="0.2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3.5" customHeight="1" x14ac:dyDescent="0.2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3.5" customHeight="1" x14ac:dyDescent="0.2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3.5" customHeight="1" x14ac:dyDescent="0.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3.5" customHeight="1" x14ac:dyDescent="0.2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3.5" customHeight="1" x14ac:dyDescent="0.2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3.5" customHeight="1" x14ac:dyDescent="0.2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3.5" customHeight="1" x14ac:dyDescent="0.2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3.5" customHeight="1" x14ac:dyDescent="0.2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3.5" customHeight="1" x14ac:dyDescent="0.2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3.5" customHeight="1" x14ac:dyDescent="0.2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3.5" customHeight="1" x14ac:dyDescent="0.2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3.5" customHeight="1" x14ac:dyDescent="0.2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3.5" customHeight="1" x14ac:dyDescent="0.2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3.5" customHeight="1" x14ac:dyDescent="0.2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3.5" customHeight="1" x14ac:dyDescent="0.2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3.5" customHeight="1" x14ac:dyDescent="0.2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3.5" customHeight="1" x14ac:dyDescent="0.2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3.5" customHeight="1" x14ac:dyDescent="0.2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3.5" customHeight="1" x14ac:dyDescent="0.2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3.5" customHeight="1" x14ac:dyDescent="0.2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3.5" customHeight="1" x14ac:dyDescent="0.2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3.5" customHeight="1" x14ac:dyDescent="0.2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3.5" customHeight="1" x14ac:dyDescent="0.2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3.5" customHeight="1" x14ac:dyDescent="0.2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3.5" customHeight="1" x14ac:dyDescent="0.2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3.5" customHeight="1" x14ac:dyDescent="0.2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3.5" customHeight="1" x14ac:dyDescent="0.2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3.5" customHeight="1" x14ac:dyDescent="0.2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3.5" customHeight="1" x14ac:dyDescent="0.2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3.5" customHeight="1" x14ac:dyDescent="0.2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3.5" customHeight="1" x14ac:dyDescent="0.2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3.5" customHeight="1" x14ac:dyDescent="0.2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3.5" customHeight="1" x14ac:dyDescent="0.2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3.5" customHeight="1" x14ac:dyDescent="0.2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3.5" customHeight="1" x14ac:dyDescent="0.2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3.5" customHeight="1" x14ac:dyDescent="0.2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3.5" customHeight="1" x14ac:dyDescent="0.2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3.5" customHeight="1" x14ac:dyDescent="0.2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3.5" customHeight="1" x14ac:dyDescent="0.2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3.5" customHeight="1" x14ac:dyDescent="0.2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3.5" customHeight="1" x14ac:dyDescent="0.2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3.5" customHeight="1" x14ac:dyDescent="0.2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3.5" customHeight="1" x14ac:dyDescent="0.2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3.5" customHeight="1" x14ac:dyDescent="0.2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3.5" customHeight="1" x14ac:dyDescent="0.2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3.5" customHeight="1" x14ac:dyDescent="0.2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3.5" customHeight="1" x14ac:dyDescent="0.2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3.5" customHeight="1" x14ac:dyDescent="0.2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3.5" customHeight="1" x14ac:dyDescent="0.2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3.5" customHeight="1" x14ac:dyDescent="0.2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3.5" customHeight="1" x14ac:dyDescent="0.2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3.5" customHeight="1" x14ac:dyDescent="0.2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3.5" customHeight="1" x14ac:dyDescent="0.2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3.5" customHeight="1" x14ac:dyDescent="0.2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3.5" customHeight="1" x14ac:dyDescent="0.2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3.5" customHeight="1" x14ac:dyDescent="0.2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3.5" customHeight="1" x14ac:dyDescent="0.2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3.5" customHeight="1" x14ac:dyDescent="0.2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3.5" customHeight="1" x14ac:dyDescent="0.2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3.5" customHeight="1" x14ac:dyDescent="0.2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3.5" customHeight="1" x14ac:dyDescent="0.2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3.5" customHeight="1" x14ac:dyDescent="0.2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3.5" customHeight="1" x14ac:dyDescent="0.2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3.5" customHeight="1" x14ac:dyDescent="0.2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3.5" customHeight="1" x14ac:dyDescent="0.2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3.5" customHeight="1" x14ac:dyDescent="0.2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3.5" customHeight="1" x14ac:dyDescent="0.2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3.5" customHeight="1" x14ac:dyDescent="0.2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3.5" customHeight="1" x14ac:dyDescent="0.2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3.5" customHeight="1" x14ac:dyDescent="0.2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3.5" customHeight="1" x14ac:dyDescent="0.2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3.5" customHeight="1" x14ac:dyDescent="0.2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3.5" customHeight="1" x14ac:dyDescent="0.2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3.5" customHeight="1" x14ac:dyDescent="0.2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3.5" customHeight="1" x14ac:dyDescent="0.2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3.5" customHeight="1" x14ac:dyDescent="0.2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3.5" customHeight="1" x14ac:dyDescent="0.2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3.5" customHeight="1" x14ac:dyDescent="0.2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3.5" customHeight="1" x14ac:dyDescent="0.2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3.5" customHeight="1" x14ac:dyDescent="0.2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3.5" customHeight="1" x14ac:dyDescent="0.2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3.5" customHeight="1" x14ac:dyDescent="0.2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3.5" customHeight="1" x14ac:dyDescent="0.2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3.5" customHeight="1" x14ac:dyDescent="0.2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3.5" customHeight="1" x14ac:dyDescent="0.2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3.5" customHeight="1" x14ac:dyDescent="0.2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3.5" customHeight="1" x14ac:dyDescent="0.2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3.5" customHeight="1" x14ac:dyDescent="0.2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3.5" customHeight="1" x14ac:dyDescent="0.2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3.5" customHeight="1" x14ac:dyDescent="0.2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3.5" customHeight="1" x14ac:dyDescent="0.2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3.5" customHeight="1" x14ac:dyDescent="0.2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3.5" customHeight="1" x14ac:dyDescent="0.2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3.5" customHeight="1" x14ac:dyDescent="0.2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3.5" customHeight="1" x14ac:dyDescent="0.2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3.5" customHeight="1" x14ac:dyDescent="0.2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3.5" customHeight="1" x14ac:dyDescent="0.2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3.5" customHeight="1" x14ac:dyDescent="0.2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3.5" customHeight="1" x14ac:dyDescent="0.2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3.5" customHeight="1" x14ac:dyDescent="0.2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3.5" customHeight="1" x14ac:dyDescent="0.2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3.5" customHeight="1" x14ac:dyDescent="0.2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3.5" customHeight="1" x14ac:dyDescent="0.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3.5" customHeight="1" x14ac:dyDescent="0.2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3.5" customHeight="1" x14ac:dyDescent="0.2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3.5" customHeight="1" x14ac:dyDescent="0.2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3.5" customHeight="1" x14ac:dyDescent="0.2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3.5" customHeight="1" x14ac:dyDescent="0.2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3.5" customHeight="1" x14ac:dyDescent="0.2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3.5" customHeight="1" x14ac:dyDescent="0.2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3.5" customHeight="1" x14ac:dyDescent="0.2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3.5" customHeight="1" x14ac:dyDescent="0.2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3.5" customHeight="1" x14ac:dyDescent="0.2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3.5" customHeight="1" x14ac:dyDescent="0.2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3.5" customHeight="1" x14ac:dyDescent="0.2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3.5" customHeight="1" x14ac:dyDescent="0.2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3.5" customHeight="1" x14ac:dyDescent="0.2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3.5" customHeight="1" x14ac:dyDescent="0.2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3.5" customHeight="1" x14ac:dyDescent="0.2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3.5" customHeight="1" x14ac:dyDescent="0.2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3.5" customHeight="1" x14ac:dyDescent="0.2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3.5" customHeight="1" x14ac:dyDescent="0.2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3.5" customHeight="1" x14ac:dyDescent="0.2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3.5" customHeight="1" x14ac:dyDescent="0.2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3.5" customHeight="1" x14ac:dyDescent="0.2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3.5" customHeight="1" x14ac:dyDescent="0.2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3.5" customHeight="1" x14ac:dyDescent="0.2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3.5" customHeight="1" x14ac:dyDescent="0.2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3.5" customHeight="1" x14ac:dyDescent="0.2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3.5" customHeight="1" x14ac:dyDescent="0.2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3.5" customHeight="1" x14ac:dyDescent="0.2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3.5" customHeight="1" x14ac:dyDescent="0.2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3.5" customHeight="1" x14ac:dyDescent="0.2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3.5" customHeight="1" x14ac:dyDescent="0.2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3.5" customHeight="1" x14ac:dyDescent="0.2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3.5" customHeight="1" x14ac:dyDescent="0.2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3.5" customHeight="1" x14ac:dyDescent="0.2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3.5" customHeight="1" x14ac:dyDescent="0.2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3.5" customHeight="1" x14ac:dyDescent="0.2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3.5" customHeight="1" x14ac:dyDescent="0.2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3.5" customHeight="1" x14ac:dyDescent="0.2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3.5" customHeight="1" x14ac:dyDescent="0.2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3.5" customHeight="1" x14ac:dyDescent="0.2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3.5" customHeight="1" x14ac:dyDescent="0.2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3.5" customHeight="1" x14ac:dyDescent="0.2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3.5" customHeight="1" x14ac:dyDescent="0.2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3.5" customHeight="1" x14ac:dyDescent="0.2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3.5" customHeight="1" x14ac:dyDescent="0.2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3.5" customHeight="1" x14ac:dyDescent="0.2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3.5" customHeight="1" x14ac:dyDescent="0.2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3.5" customHeight="1" x14ac:dyDescent="0.2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3.5" customHeight="1" x14ac:dyDescent="0.2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3.5" customHeight="1" x14ac:dyDescent="0.2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3.5" customHeight="1" x14ac:dyDescent="0.2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3.5" customHeight="1" x14ac:dyDescent="0.2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3.5" customHeight="1" x14ac:dyDescent="0.2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3.5" customHeight="1" x14ac:dyDescent="0.2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3.5" customHeight="1" x14ac:dyDescent="0.2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3.5" customHeight="1" x14ac:dyDescent="0.2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3.5" customHeight="1" x14ac:dyDescent="0.2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3.5" customHeight="1" x14ac:dyDescent="0.2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3.5" customHeight="1" x14ac:dyDescent="0.2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3.5" customHeight="1" x14ac:dyDescent="0.2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3.5" customHeight="1" x14ac:dyDescent="0.2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3.5" customHeight="1" x14ac:dyDescent="0.2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3.5" customHeight="1" x14ac:dyDescent="0.2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3.5" customHeight="1" x14ac:dyDescent="0.2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3.5" customHeight="1" x14ac:dyDescent="0.2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3.5" customHeight="1" x14ac:dyDescent="0.2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3.5" customHeight="1" x14ac:dyDescent="0.2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3.5" customHeight="1" x14ac:dyDescent="0.2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3.5" customHeight="1" x14ac:dyDescent="0.2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3.5" customHeight="1" x14ac:dyDescent="0.2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3.5" customHeight="1" x14ac:dyDescent="0.2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3.5" customHeight="1" x14ac:dyDescent="0.2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3.5" customHeight="1" x14ac:dyDescent="0.2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3.5" customHeight="1" x14ac:dyDescent="0.2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3.5" customHeight="1" x14ac:dyDescent="0.2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3.5" customHeight="1" x14ac:dyDescent="0.2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3.5" customHeight="1" x14ac:dyDescent="0.2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3.5" customHeight="1" x14ac:dyDescent="0.2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3.5" customHeight="1" x14ac:dyDescent="0.2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3.5" customHeight="1" x14ac:dyDescent="0.2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3.5" customHeight="1" x14ac:dyDescent="0.2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3.5" customHeight="1" x14ac:dyDescent="0.2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3.5" customHeight="1" x14ac:dyDescent="0.2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3.5" customHeight="1" x14ac:dyDescent="0.2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3.5" customHeight="1" x14ac:dyDescent="0.2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3.5" customHeight="1" x14ac:dyDescent="0.2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3.5" customHeight="1" x14ac:dyDescent="0.2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3.5" customHeight="1" x14ac:dyDescent="0.2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3.5" customHeight="1" x14ac:dyDescent="0.2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3.5" customHeight="1" x14ac:dyDescent="0.2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3.5" customHeight="1" x14ac:dyDescent="0.2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3.5" customHeight="1" x14ac:dyDescent="0.2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3.5" customHeight="1" x14ac:dyDescent="0.2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3.5" customHeight="1" x14ac:dyDescent="0.2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3.5" customHeight="1" x14ac:dyDescent="0.2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3.5" customHeight="1" x14ac:dyDescent="0.2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3.5" customHeight="1" x14ac:dyDescent="0.2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3.5" customHeight="1" x14ac:dyDescent="0.2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3.5" customHeight="1" x14ac:dyDescent="0.2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3.5" customHeight="1" x14ac:dyDescent="0.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3.5" customHeight="1" x14ac:dyDescent="0.2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3.5" customHeight="1" x14ac:dyDescent="0.2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3.5" customHeight="1" x14ac:dyDescent="0.2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3.5" customHeight="1" x14ac:dyDescent="0.2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3.5" customHeight="1" x14ac:dyDescent="0.2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3.5" customHeight="1" x14ac:dyDescent="0.2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3.5" customHeight="1" x14ac:dyDescent="0.2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3.5" customHeight="1" x14ac:dyDescent="0.2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3.5" customHeight="1" x14ac:dyDescent="0.2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3.5" customHeight="1" x14ac:dyDescent="0.2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3.5" customHeight="1" x14ac:dyDescent="0.2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3.5" customHeight="1" x14ac:dyDescent="0.2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3.5" customHeight="1" x14ac:dyDescent="0.2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3.5" customHeight="1" x14ac:dyDescent="0.2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3.5" customHeight="1" x14ac:dyDescent="0.2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3.5" customHeight="1" x14ac:dyDescent="0.2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3.5" customHeight="1" x14ac:dyDescent="0.2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3.5" customHeight="1" x14ac:dyDescent="0.2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3.5" customHeight="1" x14ac:dyDescent="0.2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3.5" customHeight="1" x14ac:dyDescent="0.2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3.5" customHeight="1" x14ac:dyDescent="0.2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3.5" customHeight="1" x14ac:dyDescent="0.2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3.5" customHeight="1" x14ac:dyDescent="0.2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3.5" customHeight="1" x14ac:dyDescent="0.2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3.5" customHeight="1" x14ac:dyDescent="0.2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3.5" customHeight="1" x14ac:dyDescent="0.2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3.5" customHeight="1" x14ac:dyDescent="0.2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3.5" customHeight="1" x14ac:dyDescent="0.2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3.5" customHeight="1" x14ac:dyDescent="0.2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3.5" customHeight="1" x14ac:dyDescent="0.2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3.5" customHeight="1" x14ac:dyDescent="0.2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3.5" customHeight="1" x14ac:dyDescent="0.2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3.5" customHeight="1" x14ac:dyDescent="0.2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3.5" customHeight="1" x14ac:dyDescent="0.2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3.5" customHeight="1" x14ac:dyDescent="0.2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3.5" customHeight="1" x14ac:dyDescent="0.2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3.5" customHeight="1" x14ac:dyDescent="0.2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3.5" customHeight="1" x14ac:dyDescent="0.2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3.5" customHeight="1" x14ac:dyDescent="0.2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3.5" customHeight="1" x14ac:dyDescent="0.2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3.5" customHeight="1" x14ac:dyDescent="0.2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3.5" customHeight="1" x14ac:dyDescent="0.2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3.5" customHeight="1" x14ac:dyDescent="0.2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3.5" customHeight="1" x14ac:dyDescent="0.2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3.5" customHeight="1" x14ac:dyDescent="0.2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3.5" customHeight="1" x14ac:dyDescent="0.2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3.5" customHeight="1" x14ac:dyDescent="0.2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3.5" customHeight="1" x14ac:dyDescent="0.2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3.5" customHeight="1" x14ac:dyDescent="0.2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3.5" customHeight="1" x14ac:dyDescent="0.2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3.5" customHeight="1" x14ac:dyDescent="0.2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3.5" customHeight="1" x14ac:dyDescent="0.2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3.5" customHeight="1" x14ac:dyDescent="0.2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3.5" customHeight="1" x14ac:dyDescent="0.2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3.5" customHeight="1" x14ac:dyDescent="0.2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3.5" customHeight="1" x14ac:dyDescent="0.2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3.5" customHeight="1" x14ac:dyDescent="0.2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3.5" customHeight="1" x14ac:dyDescent="0.2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3.5" customHeight="1" x14ac:dyDescent="0.2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3.5" customHeight="1" x14ac:dyDescent="0.2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3.5" customHeight="1" x14ac:dyDescent="0.2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3.5" customHeight="1" x14ac:dyDescent="0.2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3.5" customHeight="1" x14ac:dyDescent="0.2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3.5" customHeight="1" x14ac:dyDescent="0.2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3.5" customHeight="1" x14ac:dyDescent="0.2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3.5" customHeight="1" x14ac:dyDescent="0.2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3.5" customHeight="1" x14ac:dyDescent="0.2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3.5" customHeight="1" x14ac:dyDescent="0.2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3.5" customHeight="1" x14ac:dyDescent="0.2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3.5" customHeight="1" x14ac:dyDescent="0.2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3.5" customHeight="1" x14ac:dyDescent="0.2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3.5" customHeight="1" x14ac:dyDescent="0.2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3.5" customHeight="1" x14ac:dyDescent="0.2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3.5" customHeight="1" x14ac:dyDescent="0.2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3.5" customHeight="1" x14ac:dyDescent="0.2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3.5" customHeight="1" x14ac:dyDescent="0.2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3.5" customHeight="1" x14ac:dyDescent="0.2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3.5" customHeight="1" x14ac:dyDescent="0.2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3.5" customHeight="1" x14ac:dyDescent="0.2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3.5" customHeight="1" x14ac:dyDescent="0.2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3.5" customHeight="1" x14ac:dyDescent="0.2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3.5" customHeight="1" x14ac:dyDescent="0.2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3.5" customHeight="1" x14ac:dyDescent="0.2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3.5" customHeight="1" x14ac:dyDescent="0.2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3.5" customHeight="1" x14ac:dyDescent="0.2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3.5" customHeight="1" x14ac:dyDescent="0.2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3.5" customHeight="1" x14ac:dyDescent="0.2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3.5" customHeight="1" x14ac:dyDescent="0.2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3.5" customHeight="1" x14ac:dyDescent="0.2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3.5" customHeight="1" x14ac:dyDescent="0.2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3.5" customHeight="1" x14ac:dyDescent="0.2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3.5" customHeight="1" x14ac:dyDescent="0.2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3.5" customHeight="1" x14ac:dyDescent="0.2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3.5" customHeight="1" x14ac:dyDescent="0.2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3.5" customHeight="1" x14ac:dyDescent="0.2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3.5" customHeight="1" x14ac:dyDescent="0.2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3.5" customHeight="1" x14ac:dyDescent="0.2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3.5" customHeight="1" x14ac:dyDescent="0.2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3.5" customHeight="1" x14ac:dyDescent="0.2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3.5" customHeight="1" x14ac:dyDescent="0.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3.5" customHeight="1" x14ac:dyDescent="0.2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3.5" customHeight="1" x14ac:dyDescent="0.2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3.5" customHeight="1" x14ac:dyDescent="0.2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3.5" customHeight="1" x14ac:dyDescent="0.2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3.5" customHeight="1" x14ac:dyDescent="0.2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3.5" customHeight="1" x14ac:dyDescent="0.2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3.5" customHeight="1" x14ac:dyDescent="0.2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3.5" customHeight="1" x14ac:dyDescent="0.2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3.5" customHeight="1" x14ac:dyDescent="0.2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3.5" customHeight="1" x14ac:dyDescent="0.2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3.5" customHeight="1" x14ac:dyDescent="0.2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3.5" customHeight="1" x14ac:dyDescent="0.2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3.5" customHeight="1" x14ac:dyDescent="0.2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3.5" customHeight="1" x14ac:dyDescent="0.2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3.5" customHeight="1" x14ac:dyDescent="0.2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3.5" customHeight="1" x14ac:dyDescent="0.2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3.5" customHeight="1" x14ac:dyDescent="0.2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3.5" customHeight="1" x14ac:dyDescent="0.2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3.5" customHeight="1" x14ac:dyDescent="0.2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3.5" customHeight="1" x14ac:dyDescent="0.2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3.5" customHeight="1" x14ac:dyDescent="0.2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3.5" customHeight="1" x14ac:dyDescent="0.2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3.5" customHeight="1" x14ac:dyDescent="0.2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3.5" customHeight="1" x14ac:dyDescent="0.2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3.5" customHeight="1" x14ac:dyDescent="0.2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3.5" customHeight="1" x14ac:dyDescent="0.2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3.5" customHeight="1" x14ac:dyDescent="0.2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3.5" customHeight="1" x14ac:dyDescent="0.2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3.5" customHeight="1" x14ac:dyDescent="0.2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3.5" customHeight="1" x14ac:dyDescent="0.2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3.5" customHeight="1" x14ac:dyDescent="0.2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3.5" customHeight="1" x14ac:dyDescent="0.2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3.5" customHeight="1" x14ac:dyDescent="0.2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3.5" customHeight="1" x14ac:dyDescent="0.2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3.5" customHeight="1" x14ac:dyDescent="0.2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3.5" customHeight="1" x14ac:dyDescent="0.2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3.5" customHeight="1" x14ac:dyDescent="0.2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3.5" customHeight="1" x14ac:dyDescent="0.2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3.5" customHeight="1" x14ac:dyDescent="0.2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3.5" customHeight="1" x14ac:dyDescent="0.2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3.5" customHeight="1" x14ac:dyDescent="0.2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3.5" customHeight="1" x14ac:dyDescent="0.2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3.5" customHeight="1" x14ac:dyDescent="0.2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3.5" customHeight="1" x14ac:dyDescent="0.2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3.5" customHeight="1" x14ac:dyDescent="0.2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3.5" customHeight="1" x14ac:dyDescent="0.2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3.5" customHeight="1" x14ac:dyDescent="0.2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3.5" customHeight="1" x14ac:dyDescent="0.2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3.5" customHeight="1" x14ac:dyDescent="0.2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3.5" customHeight="1" x14ac:dyDescent="0.2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3.5" customHeight="1" x14ac:dyDescent="0.2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3.5" customHeight="1" x14ac:dyDescent="0.2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3.5" customHeight="1" x14ac:dyDescent="0.2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3.5" customHeight="1" x14ac:dyDescent="0.2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3.5" customHeight="1" x14ac:dyDescent="0.2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3.5" customHeight="1" x14ac:dyDescent="0.2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3.5" customHeight="1" x14ac:dyDescent="0.2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3.5" customHeight="1" x14ac:dyDescent="0.2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3.5" customHeight="1" x14ac:dyDescent="0.2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3.5" customHeight="1" x14ac:dyDescent="0.2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3.5" customHeight="1" x14ac:dyDescent="0.2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3.5" customHeight="1" x14ac:dyDescent="0.2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3.5" customHeight="1" x14ac:dyDescent="0.2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3.5" customHeight="1" x14ac:dyDescent="0.2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3.5" customHeight="1" x14ac:dyDescent="0.2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3.5" customHeight="1" x14ac:dyDescent="0.2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3.5" customHeight="1" x14ac:dyDescent="0.2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3.5" customHeight="1" x14ac:dyDescent="0.2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3.5" customHeight="1" x14ac:dyDescent="0.2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3.5" customHeight="1" x14ac:dyDescent="0.2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3.5" customHeight="1" x14ac:dyDescent="0.2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3.5" customHeight="1" x14ac:dyDescent="0.2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3.5" customHeight="1" x14ac:dyDescent="0.2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3.5" customHeight="1" x14ac:dyDescent="0.2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3.5" customHeight="1" x14ac:dyDescent="0.2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3.5" customHeight="1" x14ac:dyDescent="0.2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3.5" customHeight="1" x14ac:dyDescent="0.2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3.5" customHeight="1" x14ac:dyDescent="0.2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3.5" customHeight="1" x14ac:dyDescent="0.2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3.5" customHeight="1" x14ac:dyDescent="0.2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3.5" customHeight="1" x14ac:dyDescent="0.2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3.5" customHeight="1" x14ac:dyDescent="0.2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3.5" customHeight="1" x14ac:dyDescent="0.2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3.5" customHeight="1" x14ac:dyDescent="0.2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3.5" customHeight="1" x14ac:dyDescent="0.2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3.5" customHeight="1" x14ac:dyDescent="0.2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3.5" customHeight="1" x14ac:dyDescent="0.2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3.5" customHeight="1" x14ac:dyDescent="0.2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3.5" customHeight="1" x14ac:dyDescent="0.2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3.5" customHeight="1" x14ac:dyDescent="0.2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3.5" customHeight="1" x14ac:dyDescent="0.2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3.5" customHeight="1" x14ac:dyDescent="0.2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3.5" customHeight="1" x14ac:dyDescent="0.2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3.5" customHeight="1" x14ac:dyDescent="0.2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3.5" customHeight="1" x14ac:dyDescent="0.2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3.5" customHeight="1" x14ac:dyDescent="0.2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3.5" customHeight="1" x14ac:dyDescent="0.2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3.5" customHeight="1" x14ac:dyDescent="0.2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3.5" customHeight="1" x14ac:dyDescent="0.2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3.5" customHeight="1" x14ac:dyDescent="0.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3.5" customHeight="1" x14ac:dyDescent="0.2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3.5" customHeight="1" x14ac:dyDescent="0.2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3.5" customHeight="1" x14ac:dyDescent="0.2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3.5" customHeight="1" x14ac:dyDescent="0.2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3.5" customHeight="1" x14ac:dyDescent="0.2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3.5" customHeight="1" x14ac:dyDescent="0.2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3.5" customHeight="1" x14ac:dyDescent="0.2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3.5" customHeight="1" x14ac:dyDescent="0.2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3.5" customHeight="1" x14ac:dyDescent="0.2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3.5" customHeight="1" x14ac:dyDescent="0.2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3.5" customHeight="1" x14ac:dyDescent="0.2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3.5" customHeight="1" x14ac:dyDescent="0.2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3.5" customHeight="1" x14ac:dyDescent="0.2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3.5" customHeight="1" x14ac:dyDescent="0.2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3.5" customHeight="1" x14ac:dyDescent="0.2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3.5" customHeight="1" x14ac:dyDescent="0.2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3.5" customHeight="1" x14ac:dyDescent="0.2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3.5" customHeight="1" x14ac:dyDescent="0.2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3.5" customHeight="1" x14ac:dyDescent="0.2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3.5" customHeight="1" x14ac:dyDescent="0.2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3.5" customHeight="1" x14ac:dyDescent="0.2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3.5" customHeight="1" x14ac:dyDescent="0.2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3.5" customHeight="1" x14ac:dyDescent="0.2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3.5" customHeight="1" x14ac:dyDescent="0.2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3.5" customHeight="1" x14ac:dyDescent="0.2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3.5" customHeight="1" x14ac:dyDescent="0.2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3.5" customHeight="1" x14ac:dyDescent="0.2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3.5" customHeight="1" x14ac:dyDescent="0.2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3.5" customHeight="1" x14ac:dyDescent="0.2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3.5" customHeight="1" x14ac:dyDescent="0.2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3.5" customHeight="1" x14ac:dyDescent="0.2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3.5" customHeight="1" x14ac:dyDescent="0.2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3.5" customHeight="1" x14ac:dyDescent="0.2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3.5" customHeight="1" x14ac:dyDescent="0.2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3.5" customHeight="1" x14ac:dyDescent="0.2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3.5" customHeight="1" x14ac:dyDescent="0.2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3.5" customHeight="1" x14ac:dyDescent="0.2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3.5" customHeight="1" x14ac:dyDescent="0.2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3.5" customHeight="1" x14ac:dyDescent="0.2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3.5" customHeight="1" x14ac:dyDescent="0.2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3.5" customHeight="1" x14ac:dyDescent="0.2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3.5" customHeight="1" x14ac:dyDescent="0.2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3.5" customHeight="1" x14ac:dyDescent="0.2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3.5" customHeight="1" x14ac:dyDescent="0.2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3.5" customHeight="1" x14ac:dyDescent="0.2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3.5" customHeight="1" x14ac:dyDescent="0.2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3.5" customHeight="1" x14ac:dyDescent="0.2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3.5" customHeight="1" x14ac:dyDescent="0.2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3.5" customHeight="1" x14ac:dyDescent="0.2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3.5" customHeight="1" x14ac:dyDescent="0.2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3.5" customHeight="1" x14ac:dyDescent="0.2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3.5" customHeight="1" x14ac:dyDescent="0.2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3.5" customHeight="1" x14ac:dyDescent="0.2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3.5" customHeight="1" x14ac:dyDescent="0.2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3.5" customHeight="1" x14ac:dyDescent="0.2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3.5" customHeight="1" x14ac:dyDescent="0.2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3.5" customHeight="1" x14ac:dyDescent="0.2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3.5" customHeight="1" x14ac:dyDescent="0.2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3.5" customHeight="1" x14ac:dyDescent="0.2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3.5" customHeight="1" x14ac:dyDescent="0.2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3.5" customHeight="1" x14ac:dyDescent="0.2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3.5" customHeight="1" x14ac:dyDescent="0.2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3.5" customHeight="1" x14ac:dyDescent="0.2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3.5" customHeight="1" x14ac:dyDescent="0.2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3.5" customHeight="1" x14ac:dyDescent="0.25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3.5" customHeight="1" x14ac:dyDescent="0.25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3.5" customHeight="1" x14ac:dyDescent="0.25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3.5" customHeight="1" x14ac:dyDescent="0.25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3.5" customHeight="1" x14ac:dyDescent="0.25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3.5" customHeight="1" x14ac:dyDescent="0.2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3.5" customHeight="1" x14ac:dyDescent="0.25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13.5" customHeight="1" x14ac:dyDescent="0.25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13.5" customHeight="1" x14ac:dyDescent="0.25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13.5" customHeight="1" x14ac:dyDescent="0.25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13.5" customHeight="1" x14ac:dyDescent="0.25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3">
    <mergeCell ref="A3:J3"/>
    <mergeCell ref="G10:H10"/>
    <mergeCell ref="A11:A12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BAI 1</vt:lpstr>
      <vt:lpstr>BAI 2</vt:lpstr>
      <vt:lpstr>BAI 3</vt:lpstr>
      <vt:lpstr>BAI 4</vt:lpstr>
      <vt:lpstr>BAI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Bảo Nam Blog</dc:creator>
  <cp:lastModifiedBy>Administrator</cp:lastModifiedBy>
  <dcterms:created xsi:type="dcterms:W3CDTF">2019-11-25T16:29:19Z</dcterms:created>
  <dcterms:modified xsi:type="dcterms:W3CDTF">2025-11-29T01:57:01Z</dcterms:modified>
</cp:coreProperties>
</file>