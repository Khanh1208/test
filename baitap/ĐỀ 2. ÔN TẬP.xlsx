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6CC6F55E-CB1E-4D2B-A95D-547F55A9E7D2}" xr6:coauthVersionLast="47" xr6:coauthVersionMax="47" xr10:uidLastSave="{00000000-0000-0000-0000-000000000000}"/>
  <bookViews>
    <workbookView xWindow="15675" yWindow="345" windowWidth="13125" windowHeight="15255" activeTab="1" xr2:uid="{99957E28-6803-4025-96CE-65F0AAEA456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2" l="1"/>
  <c r="E9" i="2"/>
  <c r="E10" i="2"/>
  <c r="E7" i="2"/>
  <c r="C8" i="2"/>
  <c r="C9" i="2"/>
  <c r="C10" i="2"/>
  <c r="C7" i="2"/>
  <c r="I20" i="1"/>
  <c r="H20" i="1"/>
  <c r="G20" i="1"/>
  <c r="G4" i="1"/>
  <c r="I4" i="1" s="1"/>
  <c r="I13" i="1" s="1"/>
  <c r="I5" i="1"/>
  <c r="I6" i="1"/>
  <c r="I7" i="1"/>
  <c r="I8" i="1"/>
  <c r="I9" i="1"/>
  <c r="I10" i="1"/>
  <c r="I11" i="1"/>
  <c r="I12" i="1"/>
  <c r="H4" i="1"/>
  <c r="H5" i="1"/>
  <c r="H6" i="1"/>
  <c r="H7" i="1"/>
  <c r="H8" i="1"/>
  <c r="H9" i="1"/>
  <c r="H10" i="1"/>
  <c r="H11" i="1"/>
  <c r="H12" i="1"/>
  <c r="G5" i="1"/>
  <c r="G6" i="1"/>
  <c r="G7" i="1"/>
  <c r="G8" i="1"/>
  <c r="G9" i="1"/>
  <c r="G10" i="1"/>
  <c r="G11" i="1"/>
  <c r="G12" i="1"/>
</calcChain>
</file>

<file path=xl/sharedStrings.xml><?xml version="1.0" encoding="utf-8"?>
<sst xmlns="http://schemas.openxmlformats.org/spreadsheetml/2006/main" count="99" uniqueCount="66">
  <si>
    <t>DANH SÁCH HỌC VIÊN KHÓA 1 - 2011</t>
  </si>
  <si>
    <t>STT</t>
  </si>
  <si>
    <t xml:space="preserve">Họ </t>
  </si>
  <si>
    <t>Tên</t>
  </si>
  <si>
    <t>Phái</t>
  </si>
  <si>
    <t>Diện</t>
  </si>
  <si>
    <t>Lớp</t>
  </si>
  <si>
    <t>Học phí</t>
  </si>
  <si>
    <t>Giảm (%)</t>
  </si>
  <si>
    <t>Tiền đóng</t>
  </si>
  <si>
    <t>TỔNG CỘNG</t>
  </si>
  <si>
    <t>Lê Xuân</t>
  </si>
  <si>
    <t>Trần Tấn</t>
  </si>
  <si>
    <t>Lê Văn</t>
  </si>
  <si>
    <t>Võ Thế</t>
  </si>
  <si>
    <t>Lê Minh</t>
  </si>
  <si>
    <t>Vũ Thị</t>
  </si>
  <si>
    <t xml:space="preserve">Võ Thanh </t>
  </si>
  <si>
    <t>Trần Văn</t>
  </si>
  <si>
    <t>Lê Ngọc</t>
  </si>
  <si>
    <t xml:space="preserve">Thủy </t>
  </si>
  <si>
    <t>Lộc</t>
  </si>
  <si>
    <t>Tâm</t>
  </si>
  <si>
    <t>Liên</t>
  </si>
  <si>
    <t>Bảo</t>
  </si>
  <si>
    <t>Toàn</t>
  </si>
  <si>
    <t>Tài</t>
  </si>
  <si>
    <t>An</t>
  </si>
  <si>
    <t>Nam</t>
  </si>
  <si>
    <t>Nữ</t>
  </si>
  <si>
    <t xml:space="preserve">Nam </t>
  </si>
  <si>
    <t>HSSV</t>
  </si>
  <si>
    <t>Khác</t>
  </si>
  <si>
    <t>CS</t>
  </si>
  <si>
    <t>THA</t>
  </si>
  <si>
    <t>KTV</t>
  </si>
  <si>
    <t>THB</t>
  </si>
  <si>
    <t>Bảng giá học phí</t>
  </si>
  <si>
    <t>Kỹ thuật viên</t>
  </si>
  <si>
    <t>Tin học B</t>
  </si>
  <si>
    <t>Tin học A</t>
  </si>
  <si>
    <t>Miễn giảm</t>
  </si>
  <si>
    <t>Giảm</t>
  </si>
  <si>
    <t>Thống kê</t>
  </si>
  <si>
    <t>Tổng tiền</t>
  </si>
  <si>
    <t xml:space="preserve">KTV </t>
  </si>
  <si>
    <t>PHIẾU GIAO NHẬN</t>
  </si>
  <si>
    <t>MÃ SP</t>
  </si>
  <si>
    <t>TÊN SP</t>
  </si>
  <si>
    <t>SỐ LƯỢNG</t>
  </si>
  <si>
    <t>ĐƠN GIÁ</t>
  </si>
  <si>
    <t>KHUYẾN MẠI</t>
  </si>
  <si>
    <t>THÀNH TIỀN</t>
  </si>
  <si>
    <t>XB01</t>
  </si>
  <si>
    <t>S001</t>
  </si>
  <si>
    <t>T001</t>
  </si>
  <si>
    <t>T002</t>
  </si>
  <si>
    <t>SẢN PHẨM</t>
  </si>
  <si>
    <t>Tên SP</t>
  </si>
  <si>
    <t>Mã SP</t>
  </si>
  <si>
    <t>Đơn giá</t>
  </si>
  <si>
    <t>Xà phòngLifeBoy</t>
  </si>
  <si>
    <t>Nước</t>
  </si>
  <si>
    <t>Súp Knor</t>
  </si>
  <si>
    <t>Thực phẩm</t>
  </si>
  <si>
    <t>nbjhuvguvgvgvh  b  b  b ghvyughbhbuhuivvg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</si>
</sst>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2" applyFont="1" applyBorder="1"/>
    <xf numFmtId="43" fontId="0" fillId="0" borderId="1" xfId="1" applyNumberFormat="1" applyFont="1" applyBorder="1"/>
    <xf numFmtId="43" fontId="0" fillId="0" borderId="1" xfId="0" applyNumberForma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khôi nguyên đẹp trai nhất tg</a:t>
            </a:r>
          </a:p>
        </c:rich>
      </c:tx>
      <c:layout>
        <c:manualLayout>
          <c:xMode val="edge"/>
          <c:yMode val="edge"/>
          <c:x val="0.4090901137357829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Sheet1!$I$4:$I$13</c:f>
              <c:numCache>
                <c:formatCode>_(* #,##0.00_);_(* \(#,##0.00\);_(* "-"??_);_(@_)</c:formatCode>
                <c:ptCount val="10"/>
                <c:pt idx="0">
                  <c:v>270000</c:v>
                </c:pt>
                <c:pt idx="1">
                  <c:v>1080000</c:v>
                </c:pt>
                <c:pt idx="2">
                  <c:v>300000</c:v>
                </c:pt>
                <c:pt idx="3">
                  <c:v>400000</c:v>
                </c:pt>
                <c:pt idx="4">
                  <c:v>270000</c:v>
                </c:pt>
                <c:pt idx="5">
                  <c:v>900000</c:v>
                </c:pt>
                <c:pt idx="6">
                  <c:v>255000</c:v>
                </c:pt>
                <c:pt idx="7">
                  <c:v>500000</c:v>
                </c:pt>
                <c:pt idx="8">
                  <c:v>475000</c:v>
                </c:pt>
                <c:pt idx="9">
                  <c:v>4450000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3-412E-9A9C-1FEEA47DE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519112</xdr:colOff>
      <xdr:row>20</xdr:row>
      <xdr:rowOff>95250</xdr:rowOff>
    </xdr:from>
    <xdr:to>
      <xdr:col>11</xdr:col>
      <xdr:colOff>547687</xdr:colOff>
      <xdr:row>34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A02EED-67B5-297A-A1E1-5EBF6BF88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1BD5-18A6-4B93-8F9D-47BEE8431006}">
  <dimension ref="A1:I20"/>
  <sheetViews>
    <sheetView workbookViewId="0">
      <selection activeCell="M4" sqref="M4"/>
    </sheetView>
  </sheetViews>
  <sheetFormatPr defaultRowHeight="15" x14ac:dyDescent="0.25"/>
  <cols>
    <col min="1" max="1" width="4.85546875" customWidth="1"/>
    <col min="2" max="2" width="11.7109375" customWidth="1"/>
    <col min="9" max="9" width="13.28515625" bestFit="1" customWidth="1"/>
  </cols>
  <sheetData>
    <row r="1" spans="1:9" ht="15.7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3" spans="1:9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x14ac:dyDescent="0.25">
      <c r="A4" s="3">
        <v>1</v>
      </c>
      <c r="B4" s="3" t="s">
        <v>11</v>
      </c>
      <c r="C4" s="3" t="s">
        <v>27</v>
      </c>
      <c r="D4" s="3" t="s">
        <v>28</v>
      </c>
      <c r="E4" s="3" t="s">
        <v>31</v>
      </c>
      <c r="F4" s="3" t="s">
        <v>34</v>
      </c>
      <c r="G4" s="3">
        <f>VLOOKUP(F4,$A$16:$C$18,3,0)</f>
        <v>300000</v>
      </c>
      <c r="H4" s="8">
        <f>HLOOKUP(E4,$G$16:$I$17,2,0)+IF(D4="Nữ",5%)</f>
        <v>0.1</v>
      </c>
      <c r="I4" s="9">
        <f>G4-G4*H4</f>
        <v>270000</v>
      </c>
    </row>
    <row r="5" spans="1:9" x14ac:dyDescent="0.25">
      <c r="A5" s="3">
        <v>2</v>
      </c>
      <c r="B5" s="3" t="s">
        <v>12</v>
      </c>
      <c r="C5" s="3" t="s">
        <v>26</v>
      </c>
      <c r="D5" s="3" t="s">
        <v>28</v>
      </c>
      <c r="E5" s="3" t="s">
        <v>31</v>
      </c>
      <c r="F5" s="3" t="s">
        <v>35</v>
      </c>
      <c r="G5" s="3">
        <f t="shared" ref="G5:G12" si="0">VLOOKUP(F5,$A$16:$C$18,3,0)</f>
        <v>1200000</v>
      </c>
      <c r="H5" s="8">
        <f t="shared" ref="H5:H12" si="1">HLOOKUP(E5,$G$16:$I$17,2,0)+IF(D5="Nữ",5%)</f>
        <v>0.1</v>
      </c>
      <c r="I5" s="9">
        <f t="shared" ref="I5:I12" si="2">G5-G5*H5</f>
        <v>1080000</v>
      </c>
    </row>
    <row r="6" spans="1:9" x14ac:dyDescent="0.25">
      <c r="A6" s="3">
        <v>3</v>
      </c>
      <c r="B6" s="3" t="s">
        <v>13</v>
      </c>
      <c r="C6" s="3" t="s">
        <v>25</v>
      </c>
      <c r="D6" s="3" t="s">
        <v>28</v>
      </c>
      <c r="E6" s="3" t="s">
        <v>32</v>
      </c>
      <c r="F6" s="3" t="s">
        <v>34</v>
      </c>
      <c r="G6" s="3">
        <f t="shared" si="0"/>
        <v>300000</v>
      </c>
      <c r="H6" s="8">
        <f t="shared" si="1"/>
        <v>0</v>
      </c>
      <c r="I6" s="9">
        <f t="shared" si="2"/>
        <v>300000</v>
      </c>
    </row>
    <row r="7" spans="1:9" x14ac:dyDescent="0.25">
      <c r="A7" s="3">
        <v>4</v>
      </c>
      <c r="B7" s="3" t="s">
        <v>14</v>
      </c>
      <c r="C7" s="3" t="s">
        <v>24</v>
      </c>
      <c r="D7" s="3" t="s">
        <v>28</v>
      </c>
      <c r="E7" s="3" t="s">
        <v>33</v>
      </c>
      <c r="F7" s="3" t="s">
        <v>36</v>
      </c>
      <c r="G7" s="3">
        <f t="shared" si="0"/>
        <v>500000</v>
      </c>
      <c r="H7" s="8">
        <f t="shared" si="1"/>
        <v>0.2</v>
      </c>
      <c r="I7" s="9">
        <f t="shared" si="2"/>
        <v>400000</v>
      </c>
    </row>
    <row r="8" spans="1:9" x14ac:dyDescent="0.25">
      <c r="A8" s="3">
        <v>5</v>
      </c>
      <c r="B8" s="3" t="s">
        <v>15</v>
      </c>
      <c r="C8" s="3" t="s">
        <v>22</v>
      </c>
      <c r="D8" s="3" t="s">
        <v>28</v>
      </c>
      <c r="E8" s="3" t="s">
        <v>31</v>
      </c>
      <c r="F8" s="3" t="s">
        <v>34</v>
      </c>
      <c r="G8" s="3">
        <f t="shared" si="0"/>
        <v>300000</v>
      </c>
      <c r="H8" s="8">
        <f t="shared" si="1"/>
        <v>0.1</v>
      </c>
      <c r="I8" s="9">
        <f t="shared" si="2"/>
        <v>270000</v>
      </c>
    </row>
    <row r="9" spans="1:9" x14ac:dyDescent="0.25">
      <c r="A9" s="3">
        <v>6</v>
      </c>
      <c r="B9" s="3" t="s">
        <v>16</v>
      </c>
      <c r="C9" s="3" t="s">
        <v>23</v>
      </c>
      <c r="D9" s="3" t="s">
        <v>29</v>
      </c>
      <c r="E9" s="3" t="s">
        <v>33</v>
      </c>
      <c r="F9" s="3" t="s">
        <v>35</v>
      </c>
      <c r="G9" s="3">
        <f t="shared" si="0"/>
        <v>1200000</v>
      </c>
      <c r="H9" s="8">
        <f t="shared" si="1"/>
        <v>0.25</v>
      </c>
      <c r="I9" s="9">
        <f t="shared" si="2"/>
        <v>900000</v>
      </c>
    </row>
    <row r="10" spans="1:9" x14ac:dyDescent="0.25">
      <c r="A10" s="3">
        <v>7</v>
      </c>
      <c r="B10" s="3" t="s">
        <v>17</v>
      </c>
      <c r="C10" s="3" t="s">
        <v>22</v>
      </c>
      <c r="D10" s="3" t="s">
        <v>29</v>
      </c>
      <c r="E10" s="3" t="s">
        <v>31</v>
      </c>
      <c r="F10" s="3" t="s">
        <v>34</v>
      </c>
      <c r="G10" s="3">
        <f t="shared" si="0"/>
        <v>300000</v>
      </c>
      <c r="H10" s="8">
        <f t="shared" si="1"/>
        <v>0.15000000000000002</v>
      </c>
      <c r="I10" s="9">
        <f t="shared" si="2"/>
        <v>255000</v>
      </c>
    </row>
    <row r="11" spans="1:9" x14ac:dyDescent="0.25">
      <c r="A11" s="3">
        <v>8</v>
      </c>
      <c r="B11" s="3" t="s">
        <v>18</v>
      </c>
      <c r="C11" s="3" t="s">
        <v>21</v>
      </c>
      <c r="D11" s="3" t="s">
        <v>30</v>
      </c>
      <c r="E11" s="3" t="s">
        <v>32</v>
      </c>
      <c r="F11" s="3" t="s">
        <v>36</v>
      </c>
      <c r="G11" s="3">
        <f t="shared" si="0"/>
        <v>500000</v>
      </c>
      <c r="H11" s="8">
        <f t="shared" si="1"/>
        <v>0</v>
      </c>
      <c r="I11" s="9">
        <f t="shared" si="2"/>
        <v>500000</v>
      </c>
    </row>
    <row r="12" spans="1:9" x14ac:dyDescent="0.25">
      <c r="A12" s="3">
        <v>9</v>
      </c>
      <c r="B12" s="3" t="s">
        <v>19</v>
      </c>
      <c r="C12" s="3" t="s">
        <v>20</v>
      </c>
      <c r="D12" s="3" t="s">
        <v>29</v>
      </c>
      <c r="E12" s="3" t="s">
        <v>32</v>
      </c>
      <c r="F12" s="3" t="s">
        <v>36</v>
      </c>
      <c r="G12" s="3">
        <f t="shared" si="0"/>
        <v>500000</v>
      </c>
      <c r="H12" s="8">
        <f t="shared" si="1"/>
        <v>0.05</v>
      </c>
      <c r="I12" s="9">
        <f t="shared" si="2"/>
        <v>475000</v>
      </c>
    </row>
    <row r="13" spans="1:9" x14ac:dyDescent="0.25">
      <c r="A13" s="4" t="s">
        <v>10</v>
      </c>
      <c r="B13" s="5"/>
      <c r="C13" s="3"/>
      <c r="D13" s="3"/>
      <c r="E13" s="3"/>
      <c r="F13" s="3"/>
      <c r="G13" s="3"/>
      <c r="H13" s="3"/>
      <c r="I13" s="10">
        <f>SUM(I4:I12)</f>
        <v>4450000</v>
      </c>
    </row>
    <row r="15" spans="1:9" x14ac:dyDescent="0.25">
      <c r="A15" s="1" t="s">
        <v>37</v>
      </c>
      <c r="B15" s="1"/>
      <c r="C15" s="1"/>
      <c r="F15" s="1" t="s">
        <v>41</v>
      </c>
      <c r="G15" s="1"/>
      <c r="H15" s="1"/>
      <c r="I15" s="1"/>
    </row>
    <row r="16" spans="1:9" x14ac:dyDescent="0.25">
      <c r="A16" s="3" t="s">
        <v>34</v>
      </c>
      <c r="B16" s="3" t="s">
        <v>40</v>
      </c>
      <c r="C16" s="3">
        <v>300000</v>
      </c>
      <c r="F16" s="6" t="s">
        <v>5</v>
      </c>
      <c r="G16" s="6" t="s">
        <v>31</v>
      </c>
      <c r="H16" s="6" t="s">
        <v>33</v>
      </c>
      <c r="I16" s="6" t="s">
        <v>32</v>
      </c>
    </row>
    <row r="17" spans="1:9" x14ac:dyDescent="0.25">
      <c r="A17" s="3" t="s">
        <v>36</v>
      </c>
      <c r="B17" s="3" t="s">
        <v>39</v>
      </c>
      <c r="C17" s="3">
        <v>500000</v>
      </c>
      <c r="F17" s="6" t="s">
        <v>42</v>
      </c>
      <c r="G17" s="7">
        <v>0.1</v>
      </c>
      <c r="H17" s="7">
        <v>0.2</v>
      </c>
      <c r="I17" s="7">
        <v>0</v>
      </c>
    </row>
    <row r="18" spans="1:9" x14ac:dyDescent="0.25">
      <c r="A18" s="3" t="s">
        <v>35</v>
      </c>
      <c r="B18" s="3" t="s">
        <v>38</v>
      </c>
      <c r="C18" s="3">
        <v>1200000</v>
      </c>
    </row>
    <row r="19" spans="1:9" x14ac:dyDescent="0.25">
      <c r="F19" s="6" t="s">
        <v>43</v>
      </c>
      <c r="G19" s="6" t="s">
        <v>34</v>
      </c>
      <c r="H19" s="6" t="s">
        <v>36</v>
      </c>
      <c r="I19" s="6" t="s">
        <v>45</v>
      </c>
    </row>
    <row r="20" spans="1:9" x14ac:dyDescent="0.25">
      <c r="F20" s="6" t="s">
        <v>44</v>
      </c>
      <c r="G20" s="6">
        <f>SUMIF(F4:F12,G19,I4:I12)</f>
        <v>1095000</v>
      </c>
      <c r="H20" s="6">
        <f>SUMIF(F4:F12,H19,I4:I12)</f>
        <v>1375000</v>
      </c>
      <c r="I20" s="6">
        <f>SUMIF(F4:F12,"KTV",I4:I12)</f>
        <v>1980000</v>
      </c>
    </row>
  </sheetData>
  <mergeCells count="4">
    <mergeCell ref="A1:I1"/>
    <mergeCell ref="A13:B13"/>
    <mergeCell ref="A15:C15"/>
    <mergeCell ref="F15:I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F4903-A101-4FEC-BEA5-93FA21B01434}">
  <dimension ref="B5:G18"/>
  <sheetViews>
    <sheetView tabSelected="1" workbookViewId="0">
      <selection activeCell="F7" sqref="F7"/>
    </sheetView>
  </sheetViews>
  <sheetFormatPr defaultRowHeight="15" x14ac:dyDescent="0.25"/>
  <cols>
    <col min="3" max="3" width="22.140625" customWidth="1"/>
    <col min="4" max="4" width="10.5703125" customWidth="1"/>
    <col min="5" max="5" width="12" customWidth="1"/>
    <col min="6" max="6" width="11.7109375" customWidth="1"/>
    <col min="7" max="7" width="13" customWidth="1"/>
  </cols>
  <sheetData>
    <row r="5" spans="2:7" x14ac:dyDescent="0.25">
      <c r="B5" s="11" t="s">
        <v>46</v>
      </c>
      <c r="C5" s="12"/>
      <c r="D5" s="12"/>
      <c r="E5" s="12"/>
      <c r="F5" s="12"/>
      <c r="G5" s="12"/>
    </row>
    <row r="6" spans="2:7" ht="28.5" x14ac:dyDescent="0.25">
      <c r="B6" s="19" t="s">
        <v>47</v>
      </c>
      <c r="C6" s="19" t="s">
        <v>48</v>
      </c>
      <c r="D6" s="20" t="s">
        <v>49</v>
      </c>
      <c r="E6" s="19" t="s">
        <v>50</v>
      </c>
      <c r="F6" s="20" t="s">
        <v>51</v>
      </c>
      <c r="G6" s="20" t="s">
        <v>52</v>
      </c>
    </row>
    <row r="7" spans="2:7" x14ac:dyDescent="0.25">
      <c r="B7" s="14" t="s">
        <v>53</v>
      </c>
      <c r="C7" s="14" t="str">
        <f>VLOOKUP(B7,$B$15:$C$18,2,0)</f>
        <v>Xà phòngLifeBoy</v>
      </c>
      <c r="D7" s="14">
        <v>19</v>
      </c>
      <c r="E7" s="14">
        <f>VLOOKUP(C7,$C$15:$D$18,2,0)</f>
        <v>4200</v>
      </c>
      <c r="F7" s="14" t="s">
        <v>65</v>
      </c>
      <c r="G7" s="14"/>
    </row>
    <row r="8" spans="2:7" x14ac:dyDescent="0.25">
      <c r="B8" s="14" t="s">
        <v>54</v>
      </c>
      <c r="C8" s="14" t="str">
        <f t="shared" ref="C8:C10" si="0">VLOOKUP(B8,$B$15:$C$18,2,0)</f>
        <v>Nước</v>
      </c>
      <c r="D8" s="14">
        <v>5</v>
      </c>
      <c r="E8" s="14">
        <f t="shared" ref="E8:E10" si="1">VLOOKUP(C8,$C$15:$D$18,2,0)</f>
        <v>4350</v>
      </c>
      <c r="F8" s="14"/>
      <c r="G8" s="14"/>
    </row>
    <row r="9" spans="2:7" x14ac:dyDescent="0.25">
      <c r="B9" s="14" t="s">
        <v>55</v>
      </c>
      <c r="C9" s="14" t="str">
        <f t="shared" si="0"/>
        <v>Thực phẩm</v>
      </c>
      <c r="D9" s="14">
        <v>16</v>
      </c>
      <c r="E9" s="14">
        <f t="shared" si="1"/>
        <v>2000</v>
      </c>
      <c r="F9" s="14"/>
      <c r="G9" s="14"/>
    </row>
    <row r="10" spans="2:7" x14ac:dyDescent="0.25">
      <c r="B10" s="14" t="s">
        <v>56</v>
      </c>
      <c r="C10" s="14" t="str">
        <f t="shared" si="0"/>
        <v>Súp Knor</v>
      </c>
      <c r="D10" s="14">
        <v>1</v>
      </c>
      <c r="E10" s="14">
        <f t="shared" si="1"/>
        <v>1000</v>
      </c>
      <c r="F10" s="14"/>
      <c r="G10" s="14"/>
    </row>
    <row r="11" spans="2:7" x14ac:dyDescent="0.25">
      <c r="B11" s="15" t="s">
        <v>10</v>
      </c>
      <c r="C11" s="16"/>
      <c r="D11" s="16"/>
      <c r="E11" s="16"/>
      <c r="F11" s="17"/>
      <c r="G11" s="18"/>
    </row>
    <row r="13" spans="2:7" x14ac:dyDescent="0.25">
      <c r="B13" s="21" t="s">
        <v>57</v>
      </c>
      <c r="C13" s="22"/>
      <c r="D13" s="23"/>
    </row>
    <row r="14" spans="2:7" x14ac:dyDescent="0.25">
      <c r="B14" s="24" t="s">
        <v>59</v>
      </c>
      <c r="C14" s="24" t="s">
        <v>58</v>
      </c>
      <c r="D14" s="24" t="s">
        <v>60</v>
      </c>
    </row>
    <row r="15" spans="2:7" x14ac:dyDescent="0.25">
      <c r="B15" s="13" t="s">
        <v>53</v>
      </c>
      <c r="C15" s="13" t="s">
        <v>61</v>
      </c>
      <c r="D15" s="13">
        <v>4200</v>
      </c>
    </row>
    <row r="16" spans="2:7" x14ac:dyDescent="0.25">
      <c r="B16" s="13" t="s">
        <v>54</v>
      </c>
      <c r="C16" s="13" t="s">
        <v>62</v>
      </c>
      <c r="D16" s="13">
        <v>4350</v>
      </c>
    </row>
    <row r="17" spans="2:4" x14ac:dyDescent="0.25">
      <c r="B17" s="13" t="s">
        <v>56</v>
      </c>
      <c r="C17" s="13" t="s">
        <v>63</v>
      </c>
      <c r="D17" s="13">
        <v>1000</v>
      </c>
    </row>
    <row r="18" spans="2:4" x14ac:dyDescent="0.25">
      <c r="B18" s="13" t="s">
        <v>55</v>
      </c>
      <c r="C18" s="13" t="s">
        <v>64</v>
      </c>
      <c r="D18" s="13">
        <v>2000</v>
      </c>
    </row>
  </sheetData>
  <mergeCells count="3">
    <mergeCell ref="B5:G5"/>
    <mergeCell ref="B11:F11"/>
    <mergeCell ref="B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2025-12-03T01:19:02Z</dcterms:created>
  <dcterms:modified xsi:type="dcterms:W3CDTF">2025-12-03T02:49:19Z</dcterms:modified>
</cp:coreProperties>
</file>