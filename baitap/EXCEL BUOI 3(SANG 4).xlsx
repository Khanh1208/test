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261EDE2A-1C4D-4765-91B2-7F7C9D75B654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BAI 1" sheetId="12" r:id="rId1"/>
    <sheet name="BAI 2" sheetId="10" r:id="rId2"/>
    <sheet name="BAI 3" sheetId="11" r:id="rId3"/>
    <sheet name="BAI 4" sheetId="13" r:id="rId4"/>
    <sheet name="BAI 5" sheetId="15" r:id="rId5"/>
  </sheets>
  <definedNames>
    <definedName name="ĐƠN_GIÁ">#REF!</definedName>
    <definedName name="NCC">#REF!</definedName>
    <definedName name="NGƯỜI_BÁN">#REF!</definedName>
    <definedName name="SL">#REF!</definedName>
    <definedName name="STT">#REF!</definedName>
    <definedName name="TÊN_MẶT_HÀNG">#REF!</definedName>
    <definedName name="TỔNG_TIỀ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" i="15" l="1"/>
  <c r="L5" i="15"/>
  <c r="L6" i="15"/>
  <c r="L7" i="15"/>
  <c r="L8" i="15"/>
  <c r="L9" i="15"/>
  <c r="L10" i="15"/>
  <c r="L11" i="15"/>
  <c r="L12" i="15"/>
  <c r="L3" i="15"/>
  <c r="K4" i="15"/>
  <c r="K5" i="15"/>
  <c r="K6" i="15"/>
  <c r="K7" i="15"/>
  <c r="K8" i="15"/>
  <c r="K9" i="15"/>
  <c r="K10" i="15"/>
  <c r="K11" i="15"/>
  <c r="K12" i="15"/>
  <c r="K3" i="15"/>
  <c r="J4" i="15"/>
  <c r="J5" i="15"/>
  <c r="J6" i="15"/>
  <c r="J7" i="15"/>
  <c r="J8" i="15"/>
  <c r="J9" i="15"/>
  <c r="J10" i="15"/>
  <c r="J11" i="15"/>
  <c r="J12" i="15"/>
  <c r="J3" i="15"/>
  <c r="I4" i="15"/>
  <c r="I5" i="15"/>
  <c r="I6" i="15"/>
  <c r="I7" i="15"/>
  <c r="I8" i="15"/>
  <c r="I9" i="15"/>
  <c r="I10" i="15"/>
  <c r="I11" i="15"/>
  <c r="I12" i="15"/>
  <c r="I3" i="15"/>
  <c r="H4" i="15"/>
  <c r="H5" i="15"/>
  <c r="H6" i="15"/>
  <c r="H7" i="15"/>
  <c r="H8" i="15"/>
  <c r="H9" i="15"/>
  <c r="H10" i="15"/>
  <c r="H11" i="15"/>
  <c r="H12" i="15"/>
  <c r="H3" i="15"/>
  <c r="G3" i="15"/>
  <c r="G12" i="15"/>
  <c r="G4" i="15"/>
  <c r="G5" i="15"/>
  <c r="G6" i="15"/>
  <c r="G7" i="15"/>
  <c r="G8" i="15"/>
  <c r="G9" i="15"/>
  <c r="G10" i="15"/>
  <c r="G11" i="15"/>
  <c r="F4" i="15"/>
  <c r="F5" i="15"/>
  <c r="F6" i="15"/>
  <c r="F7" i="15"/>
  <c r="F8" i="15"/>
  <c r="F9" i="15"/>
  <c r="F10" i="15"/>
  <c r="F11" i="15"/>
  <c r="F12" i="15"/>
  <c r="F3" i="15"/>
  <c r="E4" i="15"/>
  <c r="E5" i="15"/>
  <c r="E6" i="15"/>
  <c r="E7" i="15"/>
  <c r="E8" i="15"/>
  <c r="E9" i="15"/>
  <c r="E10" i="15"/>
  <c r="E11" i="15"/>
  <c r="E12" i="15"/>
  <c r="E3" i="15"/>
  <c r="C4" i="15"/>
  <c r="C5" i="15"/>
  <c r="C6" i="15"/>
  <c r="C7" i="15"/>
  <c r="C8" i="15"/>
  <c r="C9" i="15"/>
  <c r="C10" i="15"/>
  <c r="C11" i="15"/>
  <c r="C12" i="15"/>
  <c r="C3" i="15"/>
  <c r="J6" i="13"/>
  <c r="J7" i="13"/>
  <c r="J8" i="13"/>
  <c r="J5" i="13"/>
  <c r="I6" i="13"/>
  <c r="I7" i="13"/>
  <c r="I8" i="13"/>
  <c r="I5" i="13"/>
  <c r="H6" i="13"/>
  <c r="H7" i="13"/>
  <c r="H8" i="13"/>
  <c r="H5" i="13"/>
  <c r="G6" i="13"/>
  <c r="G7" i="13"/>
  <c r="G8" i="13"/>
  <c r="G5" i="13"/>
  <c r="D6" i="13"/>
  <c r="D7" i="13"/>
  <c r="D8" i="13"/>
  <c r="D5" i="13"/>
  <c r="H6" i="11"/>
  <c r="H7" i="11"/>
  <c r="H8" i="11"/>
  <c r="H9" i="11"/>
  <c r="H5" i="11"/>
  <c r="G6" i="11"/>
  <c r="G7" i="11"/>
  <c r="G8" i="11"/>
  <c r="G9" i="11"/>
  <c r="G5" i="11"/>
  <c r="F6" i="11"/>
  <c r="F7" i="11"/>
  <c r="F8" i="11"/>
  <c r="F9" i="11"/>
  <c r="F5" i="11"/>
  <c r="E6" i="11"/>
  <c r="E7" i="11"/>
  <c r="E8" i="11"/>
  <c r="E9" i="11"/>
  <c r="E5" i="11"/>
  <c r="I20" i="10"/>
  <c r="I19" i="10"/>
  <c r="I18" i="10"/>
  <c r="I17" i="10"/>
  <c r="I16" i="10"/>
  <c r="I15" i="10"/>
  <c r="I5" i="10"/>
  <c r="I6" i="10"/>
  <c r="I7" i="10"/>
  <c r="I8" i="10"/>
  <c r="I9" i="10"/>
  <c r="I10" i="10"/>
  <c r="I11" i="10"/>
  <c r="I12" i="10"/>
  <c r="I13" i="10"/>
  <c r="I14" i="10"/>
  <c r="I4" i="10"/>
  <c r="H4" i="10"/>
  <c r="G5" i="10"/>
  <c r="G6" i="10"/>
  <c r="G7" i="10"/>
  <c r="G8" i="10"/>
  <c r="G9" i="10"/>
  <c r="G10" i="10"/>
  <c r="G11" i="10"/>
  <c r="G12" i="10"/>
  <c r="G13" i="10"/>
  <c r="G14" i="10"/>
  <c r="G4" i="10"/>
  <c r="D18" i="10"/>
  <c r="D17" i="10"/>
  <c r="D16" i="10"/>
  <c r="D15" i="10"/>
  <c r="D5" i="10"/>
  <c r="E5" i="10"/>
  <c r="E6" i="10"/>
  <c r="E7" i="10"/>
  <c r="E8" i="10"/>
  <c r="E9" i="10"/>
  <c r="E10" i="10"/>
  <c r="E11" i="10"/>
  <c r="E12" i="10"/>
  <c r="E13" i="10"/>
  <c r="E14" i="10"/>
  <c r="E4" i="10"/>
  <c r="H5" i="10"/>
  <c r="H6" i="10"/>
  <c r="H7" i="10"/>
  <c r="H8" i="10"/>
  <c r="H9" i="10"/>
  <c r="H10" i="10"/>
  <c r="H11" i="10"/>
  <c r="H12" i="10"/>
  <c r="H13" i="10"/>
  <c r="H14" i="10"/>
  <c r="D6" i="10"/>
  <c r="D7" i="10"/>
  <c r="D8" i="10"/>
  <c r="D9" i="10"/>
  <c r="D10" i="10"/>
  <c r="D11" i="10"/>
  <c r="D12" i="10"/>
  <c r="D13" i="10"/>
  <c r="D14" i="10"/>
  <c r="D4" i="10"/>
  <c r="C5" i="10"/>
  <c r="C6" i="10"/>
  <c r="C7" i="10"/>
  <c r="C8" i="10"/>
  <c r="C9" i="10"/>
  <c r="C10" i="10"/>
  <c r="C11" i="10"/>
  <c r="C12" i="10"/>
  <c r="C13" i="10"/>
  <c r="C14" i="10"/>
  <c r="C4" i="10"/>
  <c r="F12" i="12"/>
  <c r="E12" i="12"/>
  <c r="F6" i="12"/>
  <c r="F7" i="12"/>
  <c r="F8" i="12"/>
  <c r="F9" i="12"/>
  <c r="F10" i="12"/>
  <c r="F11" i="12"/>
  <c r="F5" i="12"/>
  <c r="E6" i="12"/>
  <c r="E7" i="12"/>
  <c r="E8" i="12"/>
  <c r="E9" i="12"/>
  <c r="E10" i="12"/>
  <c r="E11" i="12"/>
  <c r="E5" i="12"/>
  <c r="D6" i="12"/>
  <c r="D7" i="12"/>
  <c r="D8" i="12"/>
  <c r="D9" i="12"/>
  <c r="D10" i="12"/>
  <c r="D11" i="12"/>
  <c r="D5" i="12"/>
  <c r="C6" i="12"/>
  <c r="C7" i="12"/>
  <c r="C8" i="12"/>
  <c r="C9" i="12"/>
  <c r="C10" i="12"/>
  <c r="C11" i="12"/>
  <c r="C5" i="12"/>
  <c r="A12" i="15"/>
  <c r="A11" i="15"/>
  <c r="A10" i="15"/>
  <c r="A9" i="15"/>
  <c r="A8" i="15"/>
  <c r="A7" i="15"/>
  <c r="A6" i="15"/>
  <c r="A5" i="15"/>
  <c r="A4" i="15"/>
  <c r="A3" i="15"/>
</calcChain>
</file>

<file path=xl/sharedStrings.xml><?xml version="1.0" encoding="utf-8"?>
<sst xmlns="http://schemas.openxmlformats.org/spreadsheetml/2006/main" count="156" uniqueCount="152">
  <si>
    <t>THUẾ</t>
  </si>
  <si>
    <t>BẢNG THEO DÕI NHẬP XUẤT HÀNG</t>
  </si>
  <si>
    <t>MÃ
HÀNG</t>
  </si>
  <si>
    <t>A001Y</t>
  </si>
  <si>
    <t>B012N</t>
  </si>
  <si>
    <t>B003Y</t>
  </si>
  <si>
    <t>A011N</t>
  </si>
  <si>
    <t>B054Y</t>
  </si>
  <si>
    <t>NHẬP</t>
  </si>
  <si>
    <t>XUẤT</t>
  </si>
  <si>
    <t>ĐƠN GIÁ</t>
  </si>
  <si>
    <t>TIỀN</t>
  </si>
  <si>
    <t>TỔNG</t>
  </si>
  <si>
    <t>A003Y</t>
  </si>
  <si>
    <t>B015N</t>
  </si>
  <si>
    <t>THỰC HÀNH TÍNH BẢNG LƯƠNG</t>
  </si>
  <si>
    <t>01AGD</t>
  </si>
  <si>
    <t>02CHC</t>
  </si>
  <si>
    <t>03BGD</t>
  </si>
  <si>
    <t>04DHC</t>
  </si>
  <si>
    <t>05DKH</t>
  </si>
  <si>
    <t>06CKH</t>
  </si>
  <si>
    <t>07DHC</t>
  </si>
  <si>
    <t>08DHC</t>
  </si>
  <si>
    <t>09DKH</t>
  </si>
  <si>
    <t>10DHC</t>
  </si>
  <si>
    <t>11DHC</t>
  </si>
  <si>
    <t>TÊN</t>
  </si>
  <si>
    <t>Xuân</t>
  </si>
  <si>
    <t>Hạ</t>
  </si>
  <si>
    <t>Thu</t>
  </si>
  <si>
    <t>Đông</t>
  </si>
  <si>
    <t>Bắc</t>
  </si>
  <si>
    <t>Trung</t>
  </si>
  <si>
    <t>Nam</t>
  </si>
  <si>
    <t>Công</t>
  </si>
  <si>
    <t>Chính</t>
  </si>
  <si>
    <t>Liêm</t>
  </si>
  <si>
    <t>Minh</t>
  </si>
  <si>
    <t>CHỨC VỤ</t>
  </si>
  <si>
    <t>PHÒNG BAN</t>
  </si>
  <si>
    <t>LƯƠNG CB</t>
  </si>
  <si>
    <t>HỆ SỐ</t>
  </si>
  <si>
    <t>LƯƠNG CHÍNH</t>
  </si>
  <si>
    <t>PHỤ CẤP CHỨC VỤ</t>
  </si>
  <si>
    <t>THỰC LÃNH</t>
  </si>
  <si>
    <t>Tổng nhân sự Ban GĐ</t>
  </si>
  <si>
    <t>Tổng  nhân  sự Phòng HC</t>
  </si>
  <si>
    <t>Tổng nhân sự Phòng KH</t>
  </si>
  <si>
    <t>Tổng nhân sự toàn Công ty</t>
  </si>
  <si>
    <t>Thực lãnh cao nhất</t>
  </si>
  <si>
    <t>Thực lãnh thấp nhất</t>
  </si>
  <si>
    <t>Thực lãnh bình quân</t>
  </si>
  <si>
    <t>Tổng thực lãnh ban GĐ</t>
  </si>
  <si>
    <t>Tổng thực lãnh Phòng HC</t>
  </si>
  <si>
    <t>Tổng thực lãnh phòng KH</t>
  </si>
  <si>
    <t>MSNV</t>
  </si>
  <si>
    <t>DANH SÁCH THI TUYỂN</t>
  </si>
  <si>
    <t>STT</t>
  </si>
  <si>
    <t>TÊN THÍ SINH</t>
  </si>
  <si>
    <t>NHẬP ĐIỂM</t>
  </si>
  <si>
    <t>LÝ
THUYẾT</t>
  </si>
  <si>
    <t>THỰC
HÀNH</t>
  </si>
  <si>
    <t>ĐTB</t>
  </si>
  <si>
    <t>XẾP
LOẠI</t>
  </si>
  <si>
    <t>LT</t>
  </si>
  <si>
    <t>TH</t>
  </si>
  <si>
    <t>Đỗ Bảo Nam Blog</t>
  </si>
  <si>
    <t>Nguyễn Quỳnh Anh</t>
  </si>
  <si>
    <t>Nguyễn Đức Cảnh</t>
  </si>
  <si>
    <t>Đinh Thanh Hải</t>
  </si>
  <si>
    <t>Nguyễn Thị Nhung</t>
  </si>
  <si>
    <t>BẢNG XẾP LOẠI</t>
  </si>
  <si>
    <t>Điểm</t>
  </si>
  <si>
    <t>Xếp loại</t>
  </si>
  <si>
    <t>Rớt</t>
  </si>
  <si>
    <t>Trung bình</t>
  </si>
  <si>
    <t>Khá</t>
  </si>
  <si>
    <t>Giỏi</t>
  </si>
  <si>
    <t>BẢNG KẾT QUẢ TUYỂN SINH</t>
  </si>
  <si>
    <t>SỐ TT</t>
  </si>
  <si>
    <t>HỌ VÀ TÊN</t>
  </si>
  <si>
    <t>MÃ SỐ NGÀNH-
ƯU TIÊN</t>
  </si>
  <si>
    <t>TÊN
NGÀNH</t>
  </si>
  <si>
    <t>TOÁN</t>
  </si>
  <si>
    <t>LÝ</t>
  </si>
  <si>
    <t>CỘNG
ĐIỂM</t>
  </si>
  <si>
    <t>ĐIỂM
ƯU TIÊN</t>
  </si>
  <si>
    <t>TỔNG
CỘNG</t>
  </si>
  <si>
    <t>KẾT
QUẢ</t>
  </si>
  <si>
    <t>Đỗ Bảo Nam</t>
  </si>
  <si>
    <t>A1</t>
  </si>
  <si>
    <t>Trần Thị Vy</t>
  </si>
  <si>
    <t>B3</t>
  </si>
  <si>
    <t>Hồ Thị Ly</t>
  </si>
  <si>
    <t>C2</t>
  </si>
  <si>
    <t>Lý Thị Vân</t>
  </si>
  <si>
    <t>C4</t>
  </si>
  <si>
    <t>ĐIỂM ƯU TIÊN</t>
  </si>
  <si>
    <t>NGÀNH
HỌC</t>
  </si>
  <si>
    <t>Mã ngành</t>
  </si>
  <si>
    <t>A</t>
  </si>
  <si>
    <t>B</t>
  </si>
  <si>
    <t>C</t>
  </si>
  <si>
    <t>Mã
ưu tiên</t>
  </si>
  <si>
    <t>Tên ngành</t>
  </si>
  <si>
    <t>Tin học</t>
  </si>
  <si>
    <t>Lý</t>
  </si>
  <si>
    <t>Hóa</t>
  </si>
  <si>
    <t>BÁO CÁO DOANH THU QUÝ 1/2009</t>
  </si>
  <si>
    <t>Ngày xuất</t>
  </si>
  <si>
    <t>Mã HĐ</t>
  </si>
  <si>
    <t>YC01A</t>
  </si>
  <si>
    <t>YV02C</t>
  </si>
  <si>
    <t>YS03D</t>
  </si>
  <si>
    <t>YD04E</t>
  </si>
  <si>
    <t>YT05E</t>
  </si>
  <si>
    <t>YD06A</t>
  </si>
  <si>
    <t>YC07C</t>
  </si>
  <si>
    <t>YC08B</t>
  </si>
  <si>
    <t>YT09D</t>
  </si>
  <si>
    <t>YS01B</t>
  </si>
  <si>
    <t>Tên Hàng</t>
  </si>
  <si>
    <t>Tổng số hộp</t>
  </si>
  <si>
    <t>Số thùng</t>
  </si>
  <si>
    <t>Số hộp lẻ</t>
  </si>
  <si>
    <t>Thành tiền</t>
  </si>
  <si>
    <t>Vận chuyển</t>
  </si>
  <si>
    <t>Tổng cộng</t>
  </si>
  <si>
    <t>Phí vận chuyển %</t>
  </si>
  <si>
    <t>Bảng đơn giá</t>
  </si>
  <si>
    <t>Mã hàng</t>
  </si>
  <si>
    <t>YS</t>
  </si>
  <si>
    <t>YD</t>
  </si>
  <si>
    <t>YC</t>
  </si>
  <si>
    <t>YV</t>
  </si>
  <si>
    <t>YT</t>
  </si>
  <si>
    <t>Tên hàng</t>
  </si>
  <si>
    <t>Sữa chua nguyên chất</t>
  </si>
  <si>
    <t>Sữa chua dâu</t>
  </si>
  <si>
    <t>Sữa chua Chanh</t>
  </si>
  <si>
    <t>Sữa chua vãi</t>
  </si>
  <si>
    <t>Sữa chua dừa</t>
  </si>
  <si>
    <t>Đgiá sĩ</t>
  </si>
  <si>
    <t>Đgiá lẻ</t>
  </si>
  <si>
    <t>Bảng phí chuyên chở</t>
  </si>
  <si>
    <t>Khu vực</t>
  </si>
  <si>
    <t>D</t>
  </si>
  <si>
    <t>E</t>
  </si>
  <si>
    <t>Phí chở</t>
  </si>
  <si>
    <t>Đơn giá sĩ</t>
  </si>
  <si>
    <t>Đơn giá lẻ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</si>
</sst>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1" applyNumberFormat="1" applyFont="1" applyFill="1" applyBorder="1" applyAlignment="1">
      <alignment vertical="center" wrapText="1"/>
    </xf>
    <xf numFmtId="165" fontId="4" fillId="0" borderId="1" xfId="0" applyNumberFormat="1" applyFont="1" applyBorder="1" applyAlignment="1">
      <alignment vertical="center" wrapText="1"/>
    </xf>
    <xf numFmtId="165" fontId="4" fillId="0" borderId="1" xfId="1" applyNumberFormat="1" applyFont="1" applyFill="1" applyBorder="1" applyAlignment="1">
      <alignment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5" fontId="4" fillId="0" borderId="1" xfId="0" applyNumberFormat="1" applyFont="1" applyBorder="1" applyAlignment="1">
      <alignment vertical="center"/>
    </xf>
    <xf numFmtId="0" fontId="7" fillId="0" borderId="0" xfId="0" applyFont="1"/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165" fontId="7" fillId="0" borderId="1" xfId="1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5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horizontal="right" vertical="center"/>
    </xf>
    <xf numFmtId="165" fontId="4" fillId="0" borderId="0" xfId="1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7" fillId="0" borderId="0" xfId="1" applyNumberFormat="1" applyFont="1" applyBorder="1" applyAlignment="1">
      <alignment horizontal="right"/>
    </xf>
    <xf numFmtId="165" fontId="7" fillId="0" borderId="0" xfId="0" applyNumberFormat="1" applyFont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/>
    <xf numFmtId="9" fontId="3" fillId="0" borderId="1" xfId="0" applyNumberFormat="1" applyFont="1" applyBorder="1"/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43" fontId="7" fillId="0" borderId="1" xfId="0" applyNumberFormat="1" applyFont="1" applyBorder="1" applyAlignment="1">
      <alignment horizontal="right"/>
    </xf>
    <xf numFmtId="164" fontId="7" fillId="0" borderId="1" xfId="0" applyNumberFormat="1" applyFont="1" applyBorder="1" applyAlignment="1">
      <alignment horizontal="right" vertical="center"/>
    </xf>
    <xf numFmtId="9" fontId="3" fillId="0" borderId="1" xfId="2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387B52"/>
      <color rgb="FF0043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774700</xdr:colOff>
      <xdr:row>3</xdr:row>
      <xdr:rowOff>0</xdr:rowOff>
    </xdr:from>
    <xdr:to>
      <xdr:col>15</xdr:col>
      <xdr:colOff>301625</xdr:colOff>
      <xdr:row>21</xdr:row>
      <xdr:rowOff>76200</xdr:rowOff>
    </xdr:to>
    <xdr:sp macro="" textlink="" fLocksText="0">
      <xdr:nvSpPr>
        <xdr:cNvPr id="2" name="TextBox 1">
          <a:extLst>
            <a:ext uri="{FF2B5EF4-FFF2-40B4-BE49-F238E27FC236}">
              <a16:creationId xmlns:a16="http://schemas.microsoft.com/office/drawing/2014/main" id="{51F0BFB9-630A-994D-B148-90D4BC28D5D7}"/>
            </a:ext>
          </a:extLst>
        </xdr:cNvPr>
        <xdr:cNvSpPr txBox="1"/>
      </xdr:nvSpPr>
      <xdr:spPr>
        <a:xfrm>
          <a:off x="5842000" y="590550"/>
          <a:ext cx="5899150" cy="36830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vi-VN" sz="1400" b="1" u="sng">
              <a:latin typeface="Times New Roman" panose="02020603050405020304" pitchFamily="18" charset="0"/>
              <a:cs typeface="Times New Roman" panose="02020603050405020304" pitchFamily="18" charset="0"/>
            </a:rPr>
            <a:t>YÊU CẦU CỦA BÀI TẬP</a:t>
          </a:r>
        </a:p>
        <a:p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Nhập và định dạng dữ liệu như bảng tính</a:t>
          </a:r>
        </a:p>
        <a:p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1) - Tính cột Xuất như sau:</a:t>
          </a:r>
        </a:p>
        <a:p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    + Nếu Mã hàng có ký tự đầu là A thì Xuất = 60% * Nhập</a:t>
          </a:r>
        </a:p>
        <a:p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    + Nếu Mã hàng có ký tự đầu là B thì Xuất = 70% * Nhập</a:t>
          </a:r>
        </a:p>
        <a:p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2) - Tính cột Đơn giá như sau:</a:t>
          </a:r>
        </a:p>
        <a:p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    + Nếu Mã hàng có ký tự cuối là Y thì Đơn giá = 110000</a:t>
          </a:r>
        </a:p>
        <a:p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    + Nếu Mã hàng có ký tự cuối là N thì Đơn giá = 135000</a:t>
          </a:r>
        </a:p>
        <a:p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3) - Tính cột Tiền = Xuất * Đơn giá.</a:t>
          </a:r>
        </a:p>
        <a:p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4) - Tính cột Thuế như sau:</a:t>
          </a:r>
        </a:p>
        <a:p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    + Nếu Mã hàng có ký tự đầu là A và ký tự cuối là Y thì Thuế = 8% của Tiền</a:t>
          </a:r>
        </a:p>
        <a:p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    + Nếu Mã hàng có ký tự đầu là A và ký tự cuối là N thì Thuế = 11% của Tiền</a:t>
          </a:r>
        </a:p>
        <a:p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    + Nếu Mã hàng có ký tự đầu là B và ký tự cuối là Y thì Thuế = 17% của Tiền</a:t>
          </a:r>
        </a:p>
        <a:p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    + Nếu Mã hàng có ký tự đầu là B và ký tự cuối là N thì Thuế = 22% của Tiền.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 fLocksWithSheet="0"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149225</xdr:colOff>
      <xdr:row>3</xdr:row>
      <xdr:rowOff>0</xdr:rowOff>
    </xdr:from>
    <xdr:to>
      <xdr:col>16</xdr:col>
      <xdr:colOff>53975</xdr:colOff>
      <xdr:row>19</xdr:row>
      <xdr:rowOff>63500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0E09928-5133-8519-4532-2B620BCA279B}"/>
            </a:ext>
          </a:extLst>
        </xdr:cNvPr>
        <xdr:cNvSpPr/>
      </xdr:nvSpPr>
      <xdr:spPr>
        <a:xfrm>
          <a:off x="7854950" y="1019175"/>
          <a:ext cx="4772025" cy="31115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 i="0" u="sng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Ý NGHĨA MSNV:</a:t>
          </a:r>
        </a:p>
        <a:p>
          <a:pPr algn="l"/>
          <a:r>
            <a:rPr lang="en-US" sz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- </a:t>
          </a:r>
          <a:r>
            <a:rPr lang="vi-VN" sz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2 Ký tự đầu: Số TT </a:t>
          </a:r>
          <a:endParaRPr lang="en-US" sz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US" sz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- </a:t>
          </a:r>
          <a:r>
            <a:rPr lang="vi-VN" sz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Ký tự thứ 3: Mã số chức vụ ( A: Giám đốc, B: Phó GĐ, C: Trưởng Phòng, D: Nhân viên)</a:t>
          </a:r>
          <a:endParaRPr lang="en-US" sz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US" sz="1200" b="1" u="sng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YÊU</a:t>
          </a:r>
          <a:r>
            <a:rPr lang="en-US" sz="1200" b="1" u="sng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CẦU:</a:t>
          </a:r>
          <a:endParaRPr lang="en-US" sz="1200" b="1" u="sng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vi-VN" sz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1. Tính cột chức vụ và phòng ban </a:t>
          </a:r>
          <a:endParaRPr lang="en-US" sz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vi-VN" sz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2. Tính cột Lương CB, biết rằng Lương CB của: Giám đốc = 500000, Phó GĐ = 450000, Trưởng phòng = 400000, Nhân viên = 300000 </a:t>
          </a:r>
          <a:endParaRPr lang="en-US" sz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vi-VN" sz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3. Tính lương chính, biết rằng Lương chính = Lương CB * Hệ số </a:t>
          </a:r>
          <a:endParaRPr lang="en-US" sz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vi-VN" sz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4. Tính phụ cấp chức vụ ( PCCV). Biết rằng PCCV của: Giám đốc là 200000, Phó GĐ là 150000, Trưởng phòng là 100000, Nhân viên không có phụ cấp</a:t>
          </a:r>
          <a:endParaRPr lang="en-US" sz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vi-VN" sz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5. Tính cột Thực lãnh, biết rằng Thực lãnh = Lương Chính + PCCV </a:t>
          </a:r>
          <a:endParaRPr lang="en-US" sz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vi-VN" sz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6. Tính các ô tổng hợp</a:t>
          </a:r>
          <a:endParaRPr lang="en-US" sz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endParaRPr lang="en-US" sz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279400</xdr:colOff>
      <xdr:row>2</xdr:row>
      <xdr:rowOff>158750</xdr:rowOff>
    </xdr:from>
    <xdr:to>
      <xdr:col>16</xdr:col>
      <xdr:colOff>520700</xdr:colOff>
      <xdr:row>15</xdr:row>
      <xdr:rowOff>196850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EB81F1C-6FE8-E941-D8B0-7D86CC1352EF}"/>
            </a:ext>
          </a:extLst>
        </xdr:cNvPr>
        <xdr:cNvSpPr/>
      </xdr:nvSpPr>
      <xdr:spPr>
        <a:xfrm>
          <a:off x="6438900" y="558800"/>
          <a:ext cx="5118100" cy="27432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400" b="1" u="sng">
              <a:solidFill>
                <a:sysClr val="windowText" lastClr="000000"/>
              </a:solidFill>
              <a:latin typeface="+mj-lt"/>
            </a:rPr>
            <a:t>YÊU CẦU CỦA BÀI TẬP:</a:t>
          </a:r>
        </a:p>
        <a:p>
          <a:pPr algn="l"/>
          <a:r>
            <a:rPr lang="vi-VN" sz="1400">
              <a:solidFill>
                <a:sysClr val="windowText" lastClr="000000"/>
              </a:solidFill>
              <a:latin typeface="+mj-lt"/>
            </a:rPr>
            <a:t>1) - Nhập và định dạng dữ liệu như bảng tính</a:t>
          </a:r>
        </a:p>
        <a:p>
          <a:pPr algn="l"/>
          <a:r>
            <a:rPr lang="vi-VN" sz="1400">
              <a:solidFill>
                <a:sysClr val="windowText" lastClr="000000"/>
              </a:solidFill>
              <a:latin typeface="+mj-lt"/>
            </a:rPr>
            <a:t>2) - Tính điểm LÝ THUYẾT như sau:</a:t>
          </a:r>
        </a:p>
        <a:p>
          <a:pPr algn="l"/>
          <a:r>
            <a:rPr lang="vi-VN" sz="1400">
              <a:solidFill>
                <a:sysClr val="windowText" lastClr="000000"/>
              </a:solidFill>
              <a:latin typeface="+mj-lt"/>
            </a:rPr>
            <a:t>    LÝ THUYẾT = LT/10 nếu LT&gt;10, ngược lại LÝ THUYẾT = LT.</a:t>
          </a:r>
        </a:p>
        <a:p>
          <a:pPr algn="l"/>
          <a:r>
            <a:rPr lang="vi-VN" sz="1400">
              <a:solidFill>
                <a:sysClr val="windowText" lastClr="000000"/>
              </a:solidFill>
              <a:latin typeface="+mj-lt"/>
            </a:rPr>
            <a:t>3) - Tính điểm THỰC HÀNH như sau:</a:t>
          </a:r>
        </a:p>
        <a:p>
          <a:pPr algn="l"/>
          <a:r>
            <a:rPr lang="vi-VN" sz="1400">
              <a:solidFill>
                <a:sysClr val="windowText" lastClr="000000"/>
              </a:solidFill>
              <a:latin typeface="+mj-lt"/>
            </a:rPr>
            <a:t>    THỰC HÀNH = TH/10 nếu TH&gt;10, ngược lại THỰC HÀNH = TH.</a:t>
          </a:r>
        </a:p>
        <a:p>
          <a:pPr algn="l"/>
          <a:r>
            <a:rPr lang="vi-VN" sz="1400">
              <a:solidFill>
                <a:sysClr val="windowText" lastClr="000000"/>
              </a:solidFill>
              <a:latin typeface="+mj-lt"/>
            </a:rPr>
            <a:t>3) - Tính ĐTB = (LÝ THUYẾT + THỰC HÀNH)/2.</a:t>
          </a:r>
        </a:p>
        <a:p>
          <a:pPr algn="l"/>
          <a:r>
            <a:rPr lang="vi-VN" sz="1400">
              <a:solidFill>
                <a:sysClr val="windowText" lastClr="000000"/>
              </a:solidFill>
              <a:latin typeface="+mj-lt"/>
            </a:rPr>
            <a:t>4) - Xếp loại cho thí sinh dựa vào BẢNG XẾP LOẠI.</a:t>
          </a:r>
          <a:endParaRPr lang="en-US" sz="1400">
            <a:solidFill>
              <a:sysClr val="windowText" lastClr="000000"/>
            </a:solidFill>
            <a:latin typeface="+mj-lt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374650</xdr:colOff>
      <xdr:row>8</xdr:row>
      <xdr:rowOff>133350</xdr:rowOff>
    </xdr:from>
    <xdr:to>
      <xdr:col>16</xdr:col>
      <xdr:colOff>431800</xdr:colOff>
      <xdr:row>23</xdr:row>
      <xdr:rowOff>63500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7544BD9-F7AF-DD99-93CE-7B6961F33AF1}"/>
            </a:ext>
          </a:extLst>
        </xdr:cNvPr>
        <xdr:cNvSpPr/>
      </xdr:nvSpPr>
      <xdr:spPr>
        <a:xfrm>
          <a:off x="6464300" y="2203450"/>
          <a:ext cx="5111750" cy="29273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400" b="1" u="sng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YÊU CẦU CỦA BÀI TẬP</a:t>
          </a:r>
        </a:p>
        <a:p>
          <a:pPr algn="l"/>
          <a:r>
            <a:rPr lang="vi-VN" sz="14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1) - Nhập và định dạng dữ liệu như bảng tính</a:t>
          </a:r>
        </a:p>
        <a:p>
          <a:pPr algn="l"/>
          <a:r>
            <a:rPr lang="vi-VN" sz="14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2) - TÊN NGÀNH: Căn cứ vào ký tự đầu của MÃ SỐ NGÀNH-ƯU TIÊN,</a:t>
          </a:r>
        </a:p>
        <a:p>
          <a:pPr algn="l"/>
          <a:r>
            <a:rPr lang="vi-VN" sz="14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tra cứu trong bảng NGÀNH HỌC.</a:t>
          </a:r>
        </a:p>
        <a:p>
          <a:pPr algn="l"/>
          <a:r>
            <a:rPr lang="vi-VN" sz="14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3) - CỘNG ĐIỂM = (TOÁN*2 + LÝ)</a:t>
          </a:r>
        </a:p>
        <a:p>
          <a:pPr algn="l"/>
          <a:r>
            <a:rPr lang="vi-VN" sz="14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4) - ĐIỂM ƯU TIÊN: Căn cứ vào ký tự cuối của MÃ SỐ NGÀNH-ƯU TIÊN,</a:t>
          </a:r>
        </a:p>
        <a:p>
          <a:pPr algn="l"/>
          <a:r>
            <a:rPr lang="vi-VN" sz="14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tra trong bảng ĐIỂM ƯU TIÊN.</a:t>
          </a:r>
        </a:p>
        <a:p>
          <a:pPr algn="l"/>
          <a:r>
            <a:rPr lang="vi-VN" sz="14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5) - TỔNG CỘNG = CỘNG ĐIỂM + ĐIỂM ƯU TIÊN.</a:t>
          </a:r>
        </a:p>
        <a:p>
          <a:pPr algn="l"/>
          <a:r>
            <a:rPr lang="vi-VN" sz="14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6) - KẾT QUẢ: Nếu TỔNG CỘNG &gt; 18 thì ghi Đậu, ngược lại ghi Rớt.</a:t>
          </a:r>
          <a:endParaRPr lang="en-US" sz="14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22</xdr:row>
      <xdr:rowOff>88900</xdr:rowOff>
    </xdr:from>
    <xdr:to>
      <xdr:col>8</xdr:col>
      <xdr:colOff>88900</xdr:colOff>
      <xdr:row>34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104AA44-A81C-6640-CEDC-51B7D0BC197C}"/>
            </a:ext>
          </a:extLst>
        </xdr:cNvPr>
        <xdr:cNvSpPr/>
      </xdr:nvSpPr>
      <xdr:spPr>
        <a:xfrm>
          <a:off x="952500" y="4178300"/>
          <a:ext cx="5086350" cy="21209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400" b="1" u="sng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Yêu cầu: </a:t>
          </a:r>
          <a:endParaRPr lang="en-US" sz="1400" b="1" u="sng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vi-VN" sz="14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1. Dựa vào Bảng đơn giá và bảng phí vận chuyển. Lập công thức điền vào Tên hàng; đơn giá sỉ; đơn giá lẻ; phí vận chuyển </a:t>
          </a:r>
          <a:endParaRPr lang="en-US" sz="14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vi-VN" sz="14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2. Tính số thùng, số hộp lẻ. Biết rằng 1 thùng có 24 hộp </a:t>
          </a:r>
          <a:endParaRPr lang="en-US" sz="14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vi-VN" sz="14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3. Thành tiền = đơn giá sỉ * số thùng</a:t>
          </a:r>
          <a:r>
            <a:rPr lang="en-US" sz="14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*24</a:t>
          </a:r>
          <a:r>
            <a:rPr lang="vi-VN" sz="14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+ đơn giá lẻ * số hộp lẻ </a:t>
          </a:r>
          <a:endParaRPr lang="en-US" sz="14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vi-VN" sz="14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4. Vận chuyển = phí vận chuyển * thành tiền, nếu số thùng&gt;=10 thì vận chuyển giảm giảm 10%, ngược lại không giảm </a:t>
          </a:r>
          <a:endParaRPr lang="en-US" sz="14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vi-VN" sz="14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5. Tổng cộng = thành tiền + vận chuyển</a:t>
          </a:r>
          <a:endParaRPr lang="en-US" sz="14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172B2-930C-4DB0-B0DD-4DEA6F34C583}">
  <dimension ref="A3:F12"/>
  <sheetViews>
    <sheetView workbookViewId="0">
      <selection activeCell="F8" sqref="F8"/>
    </sheetView>
  </sheetViews>
  <sheetFormatPr defaultRowHeight="15" x14ac:dyDescent="0.25"/>
  <cols>
    <col min="1" max="1" width="14.28515625" customWidth="1"/>
    <col min="2" max="2" width="14.5703125" customWidth="1"/>
    <col min="3" max="3" width="13.5703125" customWidth="1"/>
    <col min="4" max="4" width="15.5703125" customWidth="1"/>
    <col min="5" max="5" width="14" bestFit="1" customWidth="1"/>
    <col min="6" max="6" width="13.28515625" customWidth="1"/>
  </cols>
  <sheetData>
    <row r="3" spans="1:6" ht="18.75" x14ac:dyDescent="0.25">
      <c r="A3" s="41" t="s">
        <v>1</v>
      </c>
      <c r="B3" s="41"/>
      <c r="C3" s="41"/>
      <c r="D3" s="41"/>
      <c r="E3" s="41"/>
      <c r="F3" s="41"/>
    </row>
    <row r="4" spans="1:6" ht="31.5" x14ac:dyDescent="0.25">
      <c r="A4" s="6" t="s">
        <v>2</v>
      </c>
      <c r="B4" s="6" t="s">
        <v>8</v>
      </c>
      <c r="C4" s="6" t="s">
        <v>9</v>
      </c>
      <c r="D4" s="6" t="s">
        <v>10</v>
      </c>
      <c r="E4" s="6" t="s">
        <v>11</v>
      </c>
      <c r="F4" s="6" t="s">
        <v>0</v>
      </c>
    </row>
    <row r="5" spans="1:6" ht="15.75" x14ac:dyDescent="0.25">
      <c r="A5" s="7" t="s">
        <v>3</v>
      </c>
      <c r="B5" s="8">
        <v>1000</v>
      </c>
      <c r="C5" s="9">
        <f>B5*IF(LEFT(A5)="A",60%,70%)</f>
        <v>600</v>
      </c>
      <c r="D5" s="10">
        <f>IF(RIGHT(A5)="Y",11000,135000)</f>
        <v>11000</v>
      </c>
      <c r="E5" s="10">
        <f>C5*D5</f>
        <v>6600000</v>
      </c>
      <c r="F5" s="11">
        <f>IF(LEFT(A5,1)="A",IF(RIGHT(A5,1)="Y", E5*8%,E5*11%),IF(RIGHT(A5,1)="Y", E5*17%,E5*22%))</f>
        <v>528000</v>
      </c>
    </row>
    <row r="6" spans="1:6" ht="15.75" x14ac:dyDescent="0.25">
      <c r="A6" s="7" t="s">
        <v>4</v>
      </c>
      <c r="B6" s="8">
        <v>2500</v>
      </c>
      <c r="C6" s="9">
        <f t="shared" ref="C6:C11" si="0">B6*IF(LEFT(A6)="A",60%,70%)</f>
        <v>1750</v>
      </c>
      <c r="D6" s="10">
        <f t="shared" ref="D6:D11" si="1">IF(RIGHT(A6)="Y",11000,135000)</f>
        <v>135000</v>
      </c>
      <c r="E6" s="10">
        <f t="shared" ref="E6:E11" si="2">C6*D6</f>
        <v>236250000</v>
      </c>
      <c r="F6" s="11">
        <f t="shared" ref="F6:F12" si="3">IF(LEFT(A6,1)="A",IF(RIGHT(A6,1)="Y", E6*8%,E6*11%),IF(RIGHT(A6,1)="Y", E6*17%,E6*22%))</f>
        <v>51975000</v>
      </c>
    </row>
    <row r="7" spans="1:6" ht="15.75" x14ac:dyDescent="0.25">
      <c r="A7" s="7" t="s">
        <v>5</v>
      </c>
      <c r="B7" s="8">
        <v>4582</v>
      </c>
      <c r="C7" s="9">
        <f t="shared" si="0"/>
        <v>3207.3999999999996</v>
      </c>
      <c r="D7" s="10">
        <f t="shared" si="1"/>
        <v>11000</v>
      </c>
      <c r="E7" s="10">
        <f t="shared" si="2"/>
        <v>35281399.999999993</v>
      </c>
      <c r="F7" s="11">
        <f t="shared" si="3"/>
        <v>5997837.9999999991</v>
      </c>
    </row>
    <row r="8" spans="1:6" ht="15.75" x14ac:dyDescent="0.25">
      <c r="A8" s="12" t="s">
        <v>6</v>
      </c>
      <c r="B8" s="13">
        <v>1400</v>
      </c>
      <c r="C8" s="9">
        <f t="shared" si="0"/>
        <v>840</v>
      </c>
      <c r="D8" s="10">
        <f t="shared" si="1"/>
        <v>135000</v>
      </c>
      <c r="E8" s="10">
        <f t="shared" si="2"/>
        <v>113400000</v>
      </c>
      <c r="F8" s="11">
        <f t="shared" si="3"/>
        <v>12474000</v>
      </c>
    </row>
    <row r="9" spans="1:6" ht="15.75" x14ac:dyDescent="0.25">
      <c r="A9" s="12" t="s">
        <v>7</v>
      </c>
      <c r="B9" s="13">
        <v>1650</v>
      </c>
      <c r="C9" s="9">
        <f t="shared" si="0"/>
        <v>1155</v>
      </c>
      <c r="D9" s="10">
        <f t="shared" si="1"/>
        <v>11000</v>
      </c>
      <c r="E9" s="10">
        <f t="shared" si="2"/>
        <v>12705000</v>
      </c>
      <c r="F9" s="11">
        <f t="shared" si="3"/>
        <v>2159850</v>
      </c>
    </row>
    <row r="10" spans="1:6" ht="15.75" x14ac:dyDescent="0.25">
      <c r="A10" s="13" t="s">
        <v>13</v>
      </c>
      <c r="B10" s="13">
        <v>1200</v>
      </c>
      <c r="C10" s="9">
        <f t="shared" si="0"/>
        <v>720</v>
      </c>
      <c r="D10" s="10">
        <f t="shared" si="1"/>
        <v>11000</v>
      </c>
      <c r="E10" s="10">
        <f t="shared" si="2"/>
        <v>7920000</v>
      </c>
      <c r="F10" s="11">
        <f t="shared" si="3"/>
        <v>633600</v>
      </c>
    </row>
    <row r="11" spans="1:6" ht="15.75" x14ac:dyDescent="0.25">
      <c r="A11" s="13" t="s">
        <v>14</v>
      </c>
      <c r="B11" s="13">
        <v>1100</v>
      </c>
      <c r="C11" s="9">
        <f t="shared" si="0"/>
        <v>770</v>
      </c>
      <c r="D11" s="10">
        <f t="shared" si="1"/>
        <v>135000</v>
      </c>
      <c r="E11" s="10">
        <f t="shared" si="2"/>
        <v>103950000</v>
      </c>
      <c r="F11" s="11">
        <f t="shared" si="3"/>
        <v>22869000</v>
      </c>
    </row>
    <row r="12" spans="1:6" ht="15.75" x14ac:dyDescent="0.25">
      <c r="A12" s="42" t="s">
        <v>12</v>
      </c>
      <c r="B12" s="43"/>
      <c r="C12" s="43"/>
      <c r="D12" s="44"/>
      <c r="E12" s="14">
        <f>SUM(E5:E11)</f>
        <v>516106400</v>
      </c>
      <c r="F12" s="14">
        <f>SUM(F5:F11)</f>
        <v>96637288</v>
      </c>
    </row>
  </sheetData>
  <mergeCells count="2">
    <mergeCell ref="A3:F3"/>
    <mergeCell ref="A12:D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29F26-FFF2-4DC5-AF11-7D230613EA7D}">
  <dimension ref="A1:I20"/>
  <sheetViews>
    <sheetView workbookViewId="0">
      <selection activeCell="I18" sqref="I18"/>
    </sheetView>
  </sheetViews>
  <sheetFormatPr defaultColWidth="10.42578125" defaultRowHeight="15" x14ac:dyDescent="0.25"/>
  <cols>
    <col min="1" max="2" width="10.42578125" style="1"/>
    <col min="3" max="3" width="26.7109375" style="1" customWidth="1"/>
    <col min="4" max="4" width="13" style="1" customWidth="1"/>
    <col min="5" max="5" width="13.28515625" style="1" customWidth="1"/>
    <col min="6" max="16384" width="10.42578125" style="1"/>
  </cols>
  <sheetData>
    <row r="1" spans="1:9" ht="20.25" x14ac:dyDescent="0.3">
      <c r="A1" s="46" t="s">
        <v>15</v>
      </c>
      <c r="B1" s="46"/>
      <c r="C1" s="46"/>
      <c r="D1" s="46"/>
      <c r="E1" s="46"/>
      <c r="F1" s="46"/>
      <c r="G1" s="46"/>
      <c r="H1" s="46"/>
      <c r="I1" s="46"/>
    </row>
    <row r="3" spans="1:9" ht="45" x14ac:dyDescent="0.25">
      <c r="A3" s="2" t="s">
        <v>56</v>
      </c>
      <c r="B3" s="2" t="s">
        <v>27</v>
      </c>
      <c r="C3" s="2" t="s">
        <v>39</v>
      </c>
      <c r="D3" s="3" t="s">
        <v>40</v>
      </c>
      <c r="E3" s="3" t="s">
        <v>41</v>
      </c>
      <c r="F3" s="2" t="s">
        <v>42</v>
      </c>
      <c r="G3" s="3" t="s">
        <v>43</v>
      </c>
      <c r="H3" s="3" t="s">
        <v>44</v>
      </c>
      <c r="I3" s="3" t="s">
        <v>45</v>
      </c>
    </row>
    <row r="4" spans="1:9" x14ac:dyDescent="0.25">
      <c r="A4" s="4" t="s">
        <v>16</v>
      </c>
      <c r="B4" s="4" t="s">
        <v>28</v>
      </c>
      <c r="C4" s="4" t="str">
        <f>IF(MID(A4,3,1)="A","GIÁM ĐỐC",IF(MID(A4,3,1)="B","PHÓ GĐ",IF(MID(A4,3,1)="C","TRƯỞNG PHÒNG","NHÂN VIÊN")))</f>
        <v>GIÁM ĐỐC</v>
      </c>
      <c r="D4" s="5" t="str">
        <f>RIGHT(A4,2)</f>
        <v>GD</v>
      </c>
      <c r="E4" s="4">
        <f>IF(MID(A4,3,1)="A",500000,IF(MID(A4,3,1)="B",450000,IF(MID(A4,3,1)="C",400000,300000)))</f>
        <v>500000</v>
      </c>
      <c r="F4" s="4">
        <v>5.2</v>
      </c>
      <c r="G4" s="4">
        <f>E4*F4</f>
        <v>2600000</v>
      </c>
      <c r="H4" s="4">
        <f>IF(MID(A4,3,1)="A",200000,IF(MID(A4,3,1)="B",150000,IF(MID(A4,3,1)="C",100000,0)))</f>
        <v>200000</v>
      </c>
      <c r="I4" s="4">
        <f>G4+H4</f>
        <v>2800000</v>
      </c>
    </row>
    <row r="5" spans="1:9" x14ac:dyDescent="0.25">
      <c r="A5" s="4" t="s">
        <v>17</v>
      </c>
      <c r="B5" s="4" t="s">
        <v>29</v>
      </c>
      <c r="C5" s="4" t="str">
        <f t="shared" ref="C5:C14" si="0">IF(MID(A5,3,1)="A","GIÁM ĐỐC",IF(MID(A5,3,1)="B","PHÓ GĐ",IF(MID(A5,3,1)="C","TRƯỞNG PHÒNG","NHÂN VIÊN")))</f>
        <v>TRƯỞNG PHÒNG</v>
      </c>
      <c r="D5" s="5" t="str">
        <f>RIGHT(A5,2)</f>
        <v>HC</v>
      </c>
      <c r="E5" s="4">
        <f t="shared" ref="E5:E14" si="1">IF(MID(A5,3,1)="A",500000,IF(MID(A5,3,1)="B",450000,IF(MID(A5,3,1)="C",400000,300000)))</f>
        <v>400000</v>
      </c>
      <c r="F5" s="4">
        <v>4.5</v>
      </c>
      <c r="G5" s="4">
        <f t="shared" ref="G5:G14" si="2">E5*F5</f>
        <v>1800000</v>
      </c>
      <c r="H5" s="4">
        <f t="shared" ref="H5:H14" si="3">IF(MID(A5,3,1)="A",200000,IF(MID(A5,3,1)="B",150000,IF(MID(A5,3,1)="C",100000,0)))</f>
        <v>100000</v>
      </c>
      <c r="I5" s="4">
        <f t="shared" ref="I5:I14" si="4">G5+H5</f>
        <v>1900000</v>
      </c>
    </row>
    <row r="6" spans="1:9" x14ac:dyDescent="0.25">
      <c r="A6" s="4" t="s">
        <v>18</v>
      </c>
      <c r="B6" s="4" t="s">
        <v>30</v>
      </c>
      <c r="C6" s="4" t="str">
        <f t="shared" si="0"/>
        <v>PHÓ GĐ</v>
      </c>
      <c r="D6" s="5" t="str">
        <f t="shared" ref="D5:D14" si="5">RIGHT(A6,2)</f>
        <v>GD</v>
      </c>
      <c r="E6" s="4">
        <f t="shared" si="1"/>
        <v>450000</v>
      </c>
      <c r="F6" s="4">
        <v>4.8</v>
      </c>
      <c r="G6" s="4">
        <f t="shared" si="2"/>
        <v>2160000</v>
      </c>
      <c r="H6" s="4">
        <f t="shared" si="3"/>
        <v>150000</v>
      </c>
      <c r="I6" s="4">
        <f t="shared" si="4"/>
        <v>2310000</v>
      </c>
    </row>
    <row r="7" spans="1:9" x14ac:dyDescent="0.25">
      <c r="A7" s="4" t="s">
        <v>19</v>
      </c>
      <c r="B7" s="4" t="s">
        <v>31</v>
      </c>
      <c r="C7" s="4" t="str">
        <f t="shared" si="0"/>
        <v>NHÂN VIÊN</v>
      </c>
      <c r="D7" s="5" t="str">
        <f t="shared" si="5"/>
        <v>HC</v>
      </c>
      <c r="E7" s="4">
        <f t="shared" si="1"/>
        <v>300000</v>
      </c>
      <c r="F7" s="4">
        <v>3.5</v>
      </c>
      <c r="G7" s="4">
        <f t="shared" si="2"/>
        <v>1050000</v>
      </c>
      <c r="H7" s="4">
        <f t="shared" si="3"/>
        <v>0</v>
      </c>
      <c r="I7" s="4">
        <f t="shared" si="4"/>
        <v>1050000</v>
      </c>
    </row>
    <row r="8" spans="1:9" x14ac:dyDescent="0.25">
      <c r="A8" s="4" t="s">
        <v>20</v>
      </c>
      <c r="B8" s="4" t="s">
        <v>32</v>
      </c>
      <c r="C8" s="4" t="str">
        <f t="shared" si="0"/>
        <v>NHÂN VIÊN</v>
      </c>
      <c r="D8" s="5" t="str">
        <f t="shared" si="5"/>
        <v>KH</v>
      </c>
      <c r="E8" s="4">
        <f t="shared" si="1"/>
        <v>300000</v>
      </c>
      <c r="F8" s="4">
        <v>2.9</v>
      </c>
      <c r="G8" s="4">
        <f t="shared" si="2"/>
        <v>870000</v>
      </c>
      <c r="H8" s="4">
        <f t="shared" si="3"/>
        <v>0</v>
      </c>
      <c r="I8" s="4">
        <f t="shared" si="4"/>
        <v>870000</v>
      </c>
    </row>
    <row r="9" spans="1:9" x14ac:dyDescent="0.25">
      <c r="A9" s="4" t="s">
        <v>21</v>
      </c>
      <c r="B9" s="4" t="s">
        <v>33</v>
      </c>
      <c r="C9" s="4" t="str">
        <f t="shared" si="0"/>
        <v>TRƯỞNG PHÒNG</v>
      </c>
      <c r="D9" s="5" t="str">
        <f t="shared" si="5"/>
        <v>KH</v>
      </c>
      <c r="E9" s="4">
        <f t="shared" si="1"/>
        <v>400000</v>
      </c>
      <c r="F9" s="4">
        <v>4.5999999999999996</v>
      </c>
      <c r="G9" s="4">
        <f t="shared" si="2"/>
        <v>1839999.9999999998</v>
      </c>
      <c r="H9" s="4">
        <f t="shared" si="3"/>
        <v>100000</v>
      </c>
      <c r="I9" s="4">
        <f t="shared" si="4"/>
        <v>1939999.9999999998</v>
      </c>
    </row>
    <row r="10" spans="1:9" x14ac:dyDescent="0.25">
      <c r="A10" s="4" t="s">
        <v>22</v>
      </c>
      <c r="B10" s="4" t="s">
        <v>34</v>
      </c>
      <c r="C10" s="4" t="str">
        <f t="shared" si="0"/>
        <v>NHÂN VIÊN</v>
      </c>
      <c r="D10" s="5" t="str">
        <f t="shared" si="5"/>
        <v>HC</v>
      </c>
      <c r="E10" s="4">
        <f t="shared" si="1"/>
        <v>300000</v>
      </c>
      <c r="F10" s="4">
        <v>3.4</v>
      </c>
      <c r="G10" s="4">
        <f t="shared" si="2"/>
        <v>1020000</v>
      </c>
      <c r="H10" s="4">
        <f t="shared" si="3"/>
        <v>0</v>
      </c>
      <c r="I10" s="4">
        <f t="shared" si="4"/>
        <v>1020000</v>
      </c>
    </row>
    <row r="11" spans="1:9" x14ac:dyDescent="0.25">
      <c r="A11" s="4" t="s">
        <v>23</v>
      </c>
      <c r="B11" s="4" t="s">
        <v>35</v>
      </c>
      <c r="C11" s="4" t="str">
        <f t="shared" si="0"/>
        <v>NHÂN VIÊN</v>
      </c>
      <c r="D11" s="5" t="str">
        <f t="shared" si="5"/>
        <v>HC</v>
      </c>
      <c r="E11" s="4">
        <f t="shared" si="1"/>
        <v>300000</v>
      </c>
      <c r="F11" s="4">
        <v>2.5</v>
      </c>
      <c r="G11" s="4">
        <f t="shared" si="2"/>
        <v>750000</v>
      </c>
      <c r="H11" s="4">
        <f t="shared" si="3"/>
        <v>0</v>
      </c>
      <c r="I11" s="4">
        <f t="shared" si="4"/>
        <v>750000</v>
      </c>
    </row>
    <row r="12" spans="1:9" x14ac:dyDescent="0.25">
      <c r="A12" s="4" t="s">
        <v>24</v>
      </c>
      <c r="B12" s="4" t="s">
        <v>36</v>
      </c>
      <c r="C12" s="4" t="str">
        <f t="shared" si="0"/>
        <v>NHÂN VIÊN</v>
      </c>
      <c r="D12" s="5" t="str">
        <f t="shared" si="5"/>
        <v>KH</v>
      </c>
      <c r="E12" s="4">
        <f t="shared" si="1"/>
        <v>300000</v>
      </c>
      <c r="F12" s="4">
        <v>2.4</v>
      </c>
      <c r="G12" s="4">
        <f t="shared" si="2"/>
        <v>720000</v>
      </c>
      <c r="H12" s="4">
        <f t="shared" si="3"/>
        <v>0</v>
      </c>
      <c r="I12" s="4">
        <f t="shared" si="4"/>
        <v>720000</v>
      </c>
    </row>
    <row r="13" spans="1:9" x14ac:dyDescent="0.25">
      <c r="A13" s="4" t="s">
        <v>25</v>
      </c>
      <c r="B13" s="4" t="s">
        <v>37</v>
      </c>
      <c r="C13" s="4" t="str">
        <f t="shared" si="0"/>
        <v>NHÂN VIÊN</v>
      </c>
      <c r="D13" s="5" t="str">
        <f t="shared" si="5"/>
        <v>HC</v>
      </c>
      <c r="E13" s="4">
        <f t="shared" si="1"/>
        <v>300000</v>
      </c>
      <c r="F13" s="4">
        <v>3.7</v>
      </c>
      <c r="G13" s="4">
        <f t="shared" si="2"/>
        <v>1110000</v>
      </c>
      <c r="H13" s="4">
        <f t="shared" si="3"/>
        <v>0</v>
      </c>
      <c r="I13" s="4">
        <f t="shared" si="4"/>
        <v>1110000</v>
      </c>
    </row>
    <row r="14" spans="1:9" x14ac:dyDescent="0.25">
      <c r="A14" s="4" t="s">
        <v>26</v>
      </c>
      <c r="B14" s="4" t="s">
        <v>38</v>
      </c>
      <c r="C14" s="4" t="str">
        <f t="shared" si="0"/>
        <v>NHÂN VIÊN</v>
      </c>
      <c r="D14" s="5" t="str">
        <f t="shared" si="5"/>
        <v>HC</v>
      </c>
      <c r="E14" s="4">
        <f t="shared" si="1"/>
        <v>300000</v>
      </c>
      <c r="F14" s="4">
        <v>3.1</v>
      </c>
      <c r="G14" s="4">
        <f t="shared" si="2"/>
        <v>930000</v>
      </c>
      <c r="H14" s="4">
        <f t="shared" si="3"/>
        <v>0</v>
      </c>
      <c r="I14" s="4">
        <f t="shared" si="4"/>
        <v>930000</v>
      </c>
    </row>
    <row r="15" spans="1:9" x14ac:dyDescent="0.25">
      <c r="A15" s="45" t="s">
        <v>46</v>
      </c>
      <c r="B15" s="45"/>
      <c r="C15" s="45"/>
      <c r="D15" s="4">
        <f>COUNTIF(D4:D14,D4)</f>
        <v>2</v>
      </c>
      <c r="F15" s="45" t="s">
        <v>50</v>
      </c>
      <c r="G15" s="45"/>
      <c r="H15" s="45"/>
      <c r="I15" s="4">
        <f>MAX(I4:I14)</f>
        <v>2800000</v>
      </c>
    </row>
    <row r="16" spans="1:9" x14ac:dyDescent="0.25">
      <c r="A16" s="45" t="s">
        <v>47</v>
      </c>
      <c r="B16" s="45"/>
      <c r="C16" s="45"/>
      <c r="D16" s="4">
        <f>COUNTIF(D4:D14,D5)</f>
        <v>6</v>
      </c>
      <c r="F16" s="45" t="s">
        <v>51</v>
      </c>
      <c r="G16" s="45"/>
      <c r="H16" s="45"/>
      <c r="I16" s="4">
        <f>MIN(I4:I15)</f>
        <v>720000</v>
      </c>
    </row>
    <row r="17" spans="1:9" x14ac:dyDescent="0.25">
      <c r="A17" s="45" t="s">
        <v>48</v>
      </c>
      <c r="B17" s="45"/>
      <c r="C17" s="45"/>
      <c r="D17" s="4">
        <f>COUNTIF(D4:D14,D8)</f>
        <v>3</v>
      </c>
      <c r="F17" s="45" t="s">
        <v>52</v>
      </c>
      <c r="G17" s="45"/>
      <c r="H17" s="45"/>
      <c r="I17" s="4">
        <f>AVERAGE(I4:I14)</f>
        <v>1400000</v>
      </c>
    </row>
    <row r="18" spans="1:9" x14ac:dyDescent="0.25">
      <c r="A18" s="45" t="s">
        <v>49</v>
      </c>
      <c r="B18" s="45"/>
      <c r="C18" s="45"/>
      <c r="D18" s="4">
        <f>SUM(D15:D17)</f>
        <v>11</v>
      </c>
      <c r="F18" s="45" t="s">
        <v>53</v>
      </c>
      <c r="G18" s="45"/>
      <c r="H18" s="45"/>
      <c r="I18" s="4">
        <f>SUMIF(D4:D14,"GD",I4:I14)</f>
        <v>5110000</v>
      </c>
    </row>
    <row r="19" spans="1:9" x14ac:dyDescent="0.25">
      <c r="F19" s="45" t="s">
        <v>54</v>
      </c>
      <c r="G19" s="45"/>
      <c r="H19" s="45"/>
      <c r="I19" s="4">
        <f>SUMIF(D4:D14,"HC",I4:I14)</f>
        <v>6760000</v>
      </c>
    </row>
    <row r="20" spans="1:9" x14ac:dyDescent="0.25">
      <c r="F20" s="45" t="s">
        <v>55</v>
      </c>
      <c r="G20" s="45"/>
      <c r="H20" s="45"/>
      <c r="I20" s="4">
        <f>SUMIF(D4:D14,"KH",I4:I14)</f>
        <v>3530000</v>
      </c>
    </row>
  </sheetData>
  <mergeCells count="11">
    <mergeCell ref="F19:H19"/>
    <mergeCell ref="F20:H20"/>
    <mergeCell ref="A1:I1"/>
    <mergeCell ref="A15:C15"/>
    <mergeCell ref="A16:C16"/>
    <mergeCell ref="A17:C17"/>
    <mergeCell ref="A18:C18"/>
    <mergeCell ref="F15:H15"/>
    <mergeCell ref="F16:H16"/>
    <mergeCell ref="F17:H17"/>
    <mergeCell ref="F18:H1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02ADB-BF42-4EBB-B7A1-5BAC34A0A8E1}">
  <dimension ref="A2:H16"/>
  <sheetViews>
    <sheetView workbookViewId="0">
      <selection activeCell="B36" sqref="B36"/>
    </sheetView>
  </sheetViews>
  <sheetFormatPr defaultColWidth="8.7109375" defaultRowHeight="15" x14ac:dyDescent="0.25"/>
  <cols>
    <col min="1" max="1" width="8.7109375" style="1"/>
    <col min="2" max="2" width="25.140625" style="1" customWidth="1"/>
    <col min="3" max="4" width="8.7109375" style="1"/>
    <col min="5" max="5" width="10.5703125" style="1" customWidth="1"/>
    <col min="6" max="7" width="8.7109375" style="1"/>
    <col min="8" max="8" width="12" style="1" customWidth="1"/>
    <col min="9" max="16384" width="8.7109375" style="1"/>
  </cols>
  <sheetData>
    <row r="2" spans="1:8" ht="18.75" x14ac:dyDescent="0.25">
      <c r="A2" s="49" t="s">
        <v>57</v>
      </c>
      <c r="B2" s="49"/>
      <c r="C2" s="49"/>
      <c r="D2" s="49"/>
      <c r="E2" s="49"/>
      <c r="F2" s="49"/>
      <c r="G2" s="49"/>
      <c r="H2" s="49"/>
    </row>
    <row r="3" spans="1:8" ht="15.75" x14ac:dyDescent="0.25">
      <c r="A3" s="50" t="s">
        <v>58</v>
      </c>
      <c r="B3" s="50" t="s">
        <v>59</v>
      </c>
      <c r="C3" s="51" t="s">
        <v>60</v>
      </c>
      <c r="D3" s="52"/>
      <c r="E3" s="47" t="s">
        <v>61</v>
      </c>
      <c r="F3" s="47" t="s">
        <v>62</v>
      </c>
      <c r="G3" s="50" t="s">
        <v>63</v>
      </c>
      <c r="H3" s="47" t="s">
        <v>64</v>
      </c>
    </row>
    <row r="4" spans="1:8" ht="15.75" x14ac:dyDescent="0.25">
      <c r="A4" s="50"/>
      <c r="B4" s="50"/>
      <c r="C4" s="16" t="s">
        <v>65</v>
      </c>
      <c r="D4" s="16" t="s">
        <v>66</v>
      </c>
      <c r="E4" s="47"/>
      <c r="F4" s="47"/>
      <c r="G4" s="50"/>
      <c r="H4" s="47"/>
    </row>
    <row r="5" spans="1:8" ht="15.75" x14ac:dyDescent="0.25">
      <c r="A5" s="18">
        <v>1</v>
      </c>
      <c r="B5" s="19" t="s">
        <v>67</v>
      </c>
      <c r="C5" s="19">
        <v>45</v>
      </c>
      <c r="D5" s="19">
        <v>75</v>
      </c>
      <c r="E5" s="59">
        <f>C5/10</f>
        <v>4.5</v>
      </c>
      <c r="F5" s="59">
        <f>D5/10</f>
        <v>7.5</v>
      </c>
      <c r="G5" s="59">
        <f>(E5+F5)/2</f>
        <v>6</v>
      </c>
      <c r="H5" s="20" t="str">
        <f>VLOOKUP(G5,$A$13:$B$16,2,1)</f>
        <v>Trung bình</v>
      </c>
    </row>
    <row r="6" spans="1:8" ht="15.75" x14ac:dyDescent="0.25">
      <c r="A6" s="18">
        <v>2</v>
      </c>
      <c r="B6" s="19" t="s">
        <v>68</v>
      </c>
      <c r="C6" s="19">
        <v>4</v>
      </c>
      <c r="D6" s="19">
        <v>4.5</v>
      </c>
      <c r="E6" s="59">
        <f t="shared" ref="E6:E9" si="0">C6/10</f>
        <v>0.4</v>
      </c>
      <c r="F6" s="59">
        <f t="shared" ref="F6:F9" si="1">D6/10</f>
        <v>0.45</v>
      </c>
      <c r="G6" s="59">
        <f t="shared" ref="G6:G9" si="2">(E6+F6)/2</f>
        <v>0.42500000000000004</v>
      </c>
      <c r="H6" s="20" t="str">
        <f t="shared" ref="H6:H9" si="3">VLOOKUP(G6,$A$13:$B$16,2,1)</f>
        <v>Rớt</v>
      </c>
    </row>
    <row r="7" spans="1:8" ht="15.75" x14ac:dyDescent="0.25">
      <c r="A7" s="18">
        <v>3</v>
      </c>
      <c r="B7" s="19" t="s">
        <v>69</v>
      </c>
      <c r="C7" s="19">
        <v>56</v>
      </c>
      <c r="D7" s="19">
        <v>56</v>
      </c>
      <c r="E7" s="59">
        <f t="shared" si="0"/>
        <v>5.6</v>
      </c>
      <c r="F7" s="59">
        <f t="shared" si="1"/>
        <v>5.6</v>
      </c>
      <c r="G7" s="59">
        <f t="shared" si="2"/>
        <v>5.6</v>
      </c>
      <c r="H7" s="20" t="str">
        <f t="shared" si="3"/>
        <v>Trung bình</v>
      </c>
    </row>
    <row r="8" spans="1:8" ht="15.75" x14ac:dyDescent="0.25">
      <c r="A8" s="18">
        <v>4</v>
      </c>
      <c r="B8" s="19" t="s">
        <v>70</v>
      </c>
      <c r="C8" s="19">
        <v>7.5</v>
      </c>
      <c r="D8" s="19">
        <v>6.5</v>
      </c>
      <c r="E8" s="59">
        <f t="shared" si="0"/>
        <v>0.75</v>
      </c>
      <c r="F8" s="59">
        <f t="shared" si="1"/>
        <v>0.65</v>
      </c>
      <c r="G8" s="59">
        <f t="shared" si="2"/>
        <v>0.7</v>
      </c>
      <c r="H8" s="20" t="str">
        <f t="shared" si="3"/>
        <v>Rớt</v>
      </c>
    </row>
    <row r="9" spans="1:8" ht="15.75" x14ac:dyDescent="0.25">
      <c r="A9" s="18">
        <v>5</v>
      </c>
      <c r="B9" s="19" t="s">
        <v>71</v>
      </c>
      <c r="C9" s="19">
        <v>89</v>
      </c>
      <c r="D9" s="19">
        <v>80</v>
      </c>
      <c r="E9" s="59">
        <f t="shared" si="0"/>
        <v>8.9</v>
      </c>
      <c r="F9" s="59">
        <f t="shared" si="1"/>
        <v>8</v>
      </c>
      <c r="G9" s="59">
        <f t="shared" si="2"/>
        <v>8.4499999999999993</v>
      </c>
      <c r="H9" s="20" t="str">
        <f t="shared" si="3"/>
        <v>Khá</v>
      </c>
    </row>
    <row r="10" spans="1:8" ht="15.75" x14ac:dyDescent="0.25">
      <c r="A10" s="21"/>
      <c r="B10" s="21"/>
      <c r="C10" s="21"/>
      <c r="D10" s="21"/>
      <c r="E10" s="22"/>
      <c r="F10" s="22"/>
      <c r="G10" s="22"/>
      <c r="H10" s="22"/>
    </row>
    <row r="11" spans="1:8" ht="18.75" x14ac:dyDescent="0.25">
      <c r="A11" s="48" t="s">
        <v>72</v>
      </c>
      <c r="B11" s="48"/>
      <c r="C11" s="24"/>
      <c r="D11" s="24"/>
      <c r="E11" s="15"/>
      <c r="F11" s="25"/>
      <c r="G11" s="25"/>
      <c r="H11" s="25"/>
    </row>
    <row r="12" spans="1:8" ht="18.75" x14ac:dyDescent="0.25">
      <c r="A12" s="23" t="s">
        <v>73</v>
      </c>
      <c r="B12" s="23" t="s">
        <v>74</v>
      </c>
      <c r="C12" s="24"/>
      <c r="D12" s="24"/>
      <c r="E12" s="15"/>
      <c r="F12" s="25"/>
      <c r="G12" s="25"/>
      <c r="H12" s="25"/>
    </row>
    <row r="13" spans="1:8" ht="18.75" x14ac:dyDescent="0.25">
      <c r="A13" s="26">
        <v>0</v>
      </c>
      <c r="B13" s="26" t="s">
        <v>75</v>
      </c>
      <c r="C13" s="15"/>
      <c r="D13" s="15"/>
      <c r="E13" s="15"/>
      <c r="F13" s="25"/>
      <c r="G13" s="25"/>
      <c r="H13" s="25"/>
    </row>
    <row r="14" spans="1:8" ht="18.75" x14ac:dyDescent="0.25">
      <c r="A14" s="26">
        <v>5</v>
      </c>
      <c r="B14" s="26" t="s">
        <v>76</v>
      </c>
      <c r="C14" s="15"/>
      <c r="D14" s="15"/>
      <c r="E14" s="15"/>
      <c r="F14" s="25"/>
      <c r="G14" s="25"/>
      <c r="H14" s="25"/>
    </row>
    <row r="15" spans="1:8" ht="18.75" x14ac:dyDescent="0.25">
      <c r="A15" s="26">
        <v>8</v>
      </c>
      <c r="B15" s="26" t="s">
        <v>77</v>
      </c>
      <c r="C15" s="15"/>
      <c r="D15" s="15"/>
      <c r="E15" s="15"/>
      <c r="F15" s="25"/>
      <c r="G15" s="25"/>
      <c r="H15" s="25"/>
    </row>
    <row r="16" spans="1:8" ht="18.75" x14ac:dyDescent="0.25">
      <c r="A16" s="26">
        <v>10</v>
      </c>
      <c r="B16" s="26" t="s">
        <v>78</v>
      </c>
      <c r="C16" s="15"/>
      <c r="D16" s="15"/>
      <c r="E16" s="15"/>
      <c r="F16" s="25"/>
      <c r="G16" s="25"/>
      <c r="H16" s="25"/>
    </row>
  </sheetData>
  <mergeCells count="9">
    <mergeCell ref="H3:H4"/>
    <mergeCell ref="A11:B11"/>
    <mergeCell ref="A2:H2"/>
    <mergeCell ref="A3:A4"/>
    <mergeCell ref="B3:B4"/>
    <mergeCell ref="C3:D3"/>
    <mergeCell ref="E3:E4"/>
    <mergeCell ref="F3:F4"/>
    <mergeCell ref="G3:G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EE2A2-011A-47D4-8DF4-83C29439916B}">
  <dimension ref="A3:J16"/>
  <sheetViews>
    <sheetView workbookViewId="0">
      <selection activeCell="I7" sqref="I7"/>
    </sheetView>
  </sheetViews>
  <sheetFormatPr defaultColWidth="8.7109375" defaultRowHeight="15" x14ac:dyDescent="0.25"/>
  <cols>
    <col min="1" max="1" width="8.7109375" style="1"/>
    <col min="2" max="2" width="14.28515625" style="1" customWidth="1"/>
    <col min="3" max="3" width="23.5703125" style="1" customWidth="1"/>
    <col min="4" max="4" width="17.28515625" style="1" customWidth="1"/>
    <col min="5" max="7" width="8.7109375" style="1"/>
    <col min="8" max="8" width="12" style="1" customWidth="1"/>
    <col min="9" max="9" width="11.28515625" style="1" customWidth="1"/>
    <col min="10" max="16384" width="8.7109375" style="1"/>
  </cols>
  <sheetData>
    <row r="3" spans="1:10" ht="15.75" x14ac:dyDescent="0.25">
      <c r="A3" s="53" t="s">
        <v>79</v>
      </c>
      <c r="B3" s="53"/>
      <c r="C3" s="53"/>
      <c r="D3" s="53"/>
      <c r="E3" s="53"/>
      <c r="F3" s="53"/>
      <c r="G3" s="53"/>
      <c r="H3" s="53"/>
      <c r="I3" s="53"/>
      <c r="J3" s="53"/>
    </row>
    <row r="4" spans="1:10" ht="57.95" customHeight="1" x14ac:dyDescent="0.25">
      <c r="A4" s="17" t="s">
        <v>80</v>
      </c>
      <c r="B4" s="16" t="s">
        <v>81</v>
      </c>
      <c r="C4" s="17" t="s">
        <v>82</v>
      </c>
      <c r="D4" s="17" t="s">
        <v>83</v>
      </c>
      <c r="E4" s="16" t="s">
        <v>84</v>
      </c>
      <c r="F4" s="16" t="s">
        <v>85</v>
      </c>
      <c r="G4" s="17" t="s">
        <v>86</v>
      </c>
      <c r="H4" s="17" t="s">
        <v>87</v>
      </c>
      <c r="I4" s="17" t="s">
        <v>88</v>
      </c>
      <c r="J4" s="17" t="s">
        <v>89</v>
      </c>
    </row>
    <row r="5" spans="1:10" ht="15.75" x14ac:dyDescent="0.25">
      <c r="A5" s="27">
        <v>1</v>
      </c>
      <c r="B5" s="13" t="s">
        <v>90</v>
      </c>
      <c r="C5" s="27" t="s">
        <v>91</v>
      </c>
      <c r="D5" s="27" t="str">
        <f>HLOOKUP(LEFT(C5,1),$C$11:$E$12,2,0)</f>
        <v>Tin học</v>
      </c>
      <c r="E5" s="28">
        <v>7</v>
      </c>
      <c r="F5" s="28">
        <v>3</v>
      </c>
      <c r="G5" s="60">
        <f>E5*2+F5</f>
        <v>17</v>
      </c>
      <c r="H5" s="29">
        <f>VLOOKUP(RIGHT(C5,1)*1,$G$12:$H$15,2,0)</f>
        <v>2</v>
      </c>
      <c r="I5" s="60">
        <f>G5+H5</f>
        <v>19</v>
      </c>
      <c r="J5" s="27" t="str">
        <f>IF(I5&gt;=18,"Đậu","Rớt")</f>
        <v>Đậu</v>
      </c>
    </row>
    <row r="6" spans="1:10" ht="15.75" x14ac:dyDescent="0.25">
      <c r="A6" s="27">
        <v>2</v>
      </c>
      <c r="B6" s="13" t="s">
        <v>92</v>
      </c>
      <c r="C6" s="27" t="s">
        <v>93</v>
      </c>
      <c r="D6" s="27" t="str">
        <f t="shared" ref="D6:D8" si="0">HLOOKUP(LEFT(C6,1),$C$11:$E$12,2,0)</f>
        <v>Lý</v>
      </c>
      <c r="E6" s="28">
        <v>4</v>
      </c>
      <c r="F6" s="28">
        <v>7</v>
      </c>
      <c r="G6" s="60">
        <f t="shared" ref="G6:G8" si="1">E6*2+F6</f>
        <v>15</v>
      </c>
      <c r="H6" s="29">
        <f t="shared" ref="H6:H8" si="2">VLOOKUP(RIGHT(C6,1)*1,$G$12:$H$15,2,0)</f>
        <v>1</v>
      </c>
      <c r="I6" s="60">
        <f t="shared" ref="I6:I8" si="3">G6+H6</f>
        <v>16</v>
      </c>
      <c r="J6" s="27" t="str">
        <f t="shared" ref="J6:J8" si="4">IF(I6&gt;=18,"Đậu","Rớt")</f>
        <v>Rớt</v>
      </c>
    </row>
    <row r="7" spans="1:10" ht="15.75" x14ac:dyDescent="0.25">
      <c r="A7" s="27">
        <v>3</v>
      </c>
      <c r="B7" s="13" t="s">
        <v>94</v>
      </c>
      <c r="C7" s="27" t="s">
        <v>95</v>
      </c>
      <c r="D7" s="27" t="str">
        <f t="shared" si="0"/>
        <v>Hóa</v>
      </c>
      <c r="E7" s="28">
        <v>7</v>
      </c>
      <c r="F7" s="28">
        <v>6</v>
      </c>
      <c r="G7" s="60">
        <f t="shared" si="1"/>
        <v>20</v>
      </c>
      <c r="H7" s="29">
        <f t="shared" si="2"/>
        <v>1.5</v>
      </c>
      <c r="I7" s="60">
        <f t="shared" si="3"/>
        <v>21.5</v>
      </c>
      <c r="J7" s="27" t="str">
        <f t="shared" si="4"/>
        <v>Đậu</v>
      </c>
    </row>
    <row r="8" spans="1:10" ht="15.75" x14ac:dyDescent="0.25">
      <c r="A8" s="27">
        <v>4</v>
      </c>
      <c r="B8" s="13" t="s">
        <v>96</v>
      </c>
      <c r="C8" s="27" t="s">
        <v>97</v>
      </c>
      <c r="D8" s="27" t="str">
        <f t="shared" si="0"/>
        <v>Hóa</v>
      </c>
      <c r="E8" s="28">
        <v>6</v>
      </c>
      <c r="F8" s="28">
        <v>6.5</v>
      </c>
      <c r="G8" s="60">
        <f t="shared" si="1"/>
        <v>18.5</v>
      </c>
      <c r="H8" s="29">
        <f t="shared" si="2"/>
        <v>0</v>
      </c>
      <c r="I8" s="60">
        <f t="shared" si="3"/>
        <v>18.5</v>
      </c>
      <c r="J8" s="27" t="str">
        <f t="shared" si="4"/>
        <v>Đậu</v>
      </c>
    </row>
    <row r="9" spans="1:10" ht="15.75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</row>
    <row r="10" spans="1:10" ht="15.75" x14ac:dyDescent="0.25">
      <c r="A10" s="31"/>
      <c r="B10" s="31"/>
      <c r="C10" s="31"/>
      <c r="D10" s="31"/>
      <c r="E10" s="31"/>
      <c r="F10" s="31"/>
      <c r="G10" s="54" t="s">
        <v>98</v>
      </c>
      <c r="H10" s="54"/>
      <c r="I10" s="33"/>
      <c r="J10" s="34"/>
    </row>
    <row r="11" spans="1:10" ht="31.5" x14ac:dyDescent="0.25">
      <c r="A11" s="55" t="s">
        <v>99</v>
      </c>
      <c r="B11" s="35" t="s">
        <v>100</v>
      </c>
      <c r="C11" s="27" t="s">
        <v>101</v>
      </c>
      <c r="D11" s="27" t="s">
        <v>102</v>
      </c>
      <c r="E11" s="27" t="s">
        <v>103</v>
      </c>
      <c r="F11" s="31"/>
      <c r="G11" s="36" t="s">
        <v>104</v>
      </c>
      <c r="H11" s="32" t="s">
        <v>73</v>
      </c>
      <c r="I11" s="15"/>
      <c r="J11" s="15"/>
    </row>
    <row r="12" spans="1:10" ht="15.75" x14ac:dyDescent="0.25">
      <c r="A12" s="56"/>
      <c r="B12" s="35" t="s">
        <v>105</v>
      </c>
      <c r="C12" s="27" t="s">
        <v>106</v>
      </c>
      <c r="D12" s="27" t="s">
        <v>107</v>
      </c>
      <c r="E12" s="27" t="s">
        <v>108</v>
      </c>
      <c r="F12" s="31"/>
      <c r="G12" s="13">
        <v>1</v>
      </c>
      <c r="H12" s="13">
        <v>2</v>
      </c>
      <c r="I12" s="15"/>
      <c r="J12" s="15"/>
    </row>
    <row r="13" spans="1:10" ht="15.75" x14ac:dyDescent="0.25">
      <c r="A13" s="31"/>
      <c r="B13" s="31"/>
      <c r="C13" s="31"/>
      <c r="D13" s="31"/>
      <c r="E13" s="31"/>
      <c r="F13" s="31"/>
      <c r="G13" s="13">
        <v>2</v>
      </c>
      <c r="H13" s="13">
        <v>1.5</v>
      </c>
      <c r="I13" s="15"/>
      <c r="J13" s="15"/>
    </row>
    <row r="14" spans="1:10" ht="15.75" x14ac:dyDescent="0.25">
      <c r="A14" s="31"/>
      <c r="B14" s="31"/>
      <c r="C14" s="31"/>
      <c r="D14" s="31"/>
      <c r="E14" s="31"/>
      <c r="F14" s="31"/>
      <c r="G14" s="13">
        <v>3</v>
      </c>
      <c r="H14" s="13">
        <v>1</v>
      </c>
      <c r="I14" s="15"/>
      <c r="J14" s="15"/>
    </row>
    <row r="15" spans="1:10" ht="15.75" x14ac:dyDescent="0.25">
      <c r="A15" s="31"/>
      <c r="B15" s="31"/>
      <c r="C15" s="31"/>
      <c r="D15" s="31"/>
      <c r="E15" s="31"/>
      <c r="F15" s="31"/>
      <c r="G15" s="13">
        <v>4</v>
      </c>
      <c r="H15" s="13">
        <v>0</v>
      </c>
      <c r="I15" s="15"/>
      <c r="J15" s="15"/>
    </row>
    <row r="16" spans="1:10" ht="15.75" x14ac:dyDescent="0.25">
      <c r="A16" s="21"/>
      <c r="B16" s="21"/>
      <c r="C16" s="21"/>
      <c r="D16" s="21"/>
      <c r="E16" s="21"/>
      <c r="F16" s="21"/>
      <c r="G16" s="15"/>
      <c r="H16" s="15"/>
      <c r="I16" s="15"/>
      <c r="J16" s="15"/>
    </row>
  </sheetData>
  <mergeCells count="3">
    <mergeCell ref="A3:J3"/>
    <mergeCell ref="G10:H10"/>
    <mergeCell ref="A11:A1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A8176-2789-49FC-B1C2-9D5B527D079D}">
  <dimension ref="A1:L20"/>
  <sheetViews>
    <sheetView tabSelected="1" workbookViewId="0">
      <selection activeCell="C3" sqref="C3"/>
    </sheetView>
  </sheetViews>
  <sheetFormatPr defaultColWidth="8.7109375" defaultRowHeight="15" x14ac:dyDescent="0.25"/>
  <cols>
    <col min="1" max="1" width="12.7109375" style="1" customWidth="1"/>
    <col min="2" max="2" width="9.85546875" style="1" customWidth="1"/>
    <col min="3" max="3" width="19" style="1" customWidth="1"/>
    <col min="4" max="10" width="8.7109375" style="1"/>
    <col min="11" max="11" width="9.140625" style="1" customWidth="1"/>
    <col min="12" max="16384" width="8.7109375" style="1"/>
  </cols>
  <sheetData>
    <row r="1" spans="1:12" ht="20.25" x14ac:dyDescent="0.3">
      <c r="A1" s="57" t="s">
        <v>109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spans="1:12" ht="45" x14ac:dyDescent="0.25">
      <c r="A2" s="39" t="s">
        <v>110</v>
      </c>
      <c r="B2" s="39" t="s">
        <v>111</v>
      </c>
      <c r="C2" s="39" t="s">
        <v>122</v>
      </c>
      <c r="D2" s="39" t="s">
        <v>123</v>
      </c>
      <c r="E2" s="39" t="s">
        <v>124</v>
      </c>
      <c r="F2" s="39" t="s">
        <v>125</v>
      </c>
      <c r="G2" s="39" t="s">
        <v>150</v>
      </c>
      <c r="H2" s="39" t="s">
        <v>151</v>
      </c>
      <c r="I2" s="39" t="s">
        <v>126</v>
      </c>
      <c r="J2" s="39" t="s">
        <v>129</v>
      </c>
      <c r="K2" s="39" t="s">
        <v>127</v>
      </c>
      <c r="L2" s="39" t="s">
        <v>128</v>
      </c>
    </row>
    <row r="3" spans="1:12" x14ac:dyDescent="0.25">
      <c r="A3" s="37">
        <f>DATE(2000,1,7)</f>
        <v>36532</v>
      </c>
      <c r="B3" s="4" t="s">
        <v>112</v>
      </c>
      <c r="C3" s="4" t="str">
        <f>VLOOKUP(LEFT(B3,2),$B$16:$C$20,2,0)</f>
        <v>Sữa chua Chanh</v>
      </c>
      <c r="D3" s="4">
        <v>50</v>
      </c>
      <c r="E3" s="4">
        <f>INT(D3/24)</f>
        <v>2</v>
      </c>
      <c r="F3" s="4">
        <f>MOD(D3,24)</f>
        <v>2</v>
      </c>
      <c r="G3" s="4">
        <f>VLOOKUP(LEFT(B3,2),$B$16:$E$20,3,0)</f>
        <v>2200</v>
      </c>
      <c r="H3" s="4">
        <f>VLOOKUP(LEFT(B3,2),$B$16:$E$20,4,0)</f>
        <v>2500</v>
      </c>
      <c r="I3" s="4">
        <f>G3*E3*24+H3*F3</f>
        <v>110600</v>
      </c>
      <c r="J3" s="61">
        <f>VLOOKUP(RIGHT(B3,1),$J$16:$K$20,2,0)</f>
        <v>0.02</v>
      </c>
      <c r="K3" s="4">
        <f>I3*J3*IF(E3&gt;=10,90%,1)</f>
        <v>2212</v>
      </c>
      <c r="L3" s="4">
        <f>I3+K3</f>
        <v>112812</v>
      </c>
    </row>
    <row r="4" spans="1:12" x14ac:dyDescent="0.25">
      <c r="A4" s="37">
        <f>DATE(2000,2,3)</f>
        <v>36559</v>
      </c>
      <c r="B4" s="4" t="s">
        <v>113</v>
      </c>
      <c r="C4" s="4" t="str">
        <f t="shared" ref="C4:C12" si="0">VLOOKUP(LEFT(B4,2),$B$16:$C$20,2,0)</f>
        <v>Sữa chua vãi</v>
      </c>
      <c r="D4" s="4">
        <v>72</v>
      </c>
      <c r="E4" s="4">
        <f t="shared" ref="E4:E12" si="1">INT(D4/24)</f>
        <v>3</v>
      </c>
      <c r="F4" s="4">
        <f t="shared" ref="F4:F12" si="2">MOD(D4,24)</f>
        <v>0</v>
      </c>
      <c r="G4" s="4">
        <f t="shared" ref="G4:G11" si="3">VLOOKUP(LEFT(B4,2),$B$16:$E$20,3,0)</f>
        <v>2600</v>
      </c>
      <c r="H4" s="4">
        <f t="shared" ref="H4:H12" si="4">VLOOKUP(LEFT(B4,2),$B$16:$E$20,4,0)</f>
        <v>3000</v>
      </c>
      <c r="I4" s="4">
        <f t="shared" ref="I4:I12" si="5">G4*E4*24+H4*F4</f>
        <v>187200</v>
      </c>
      <c r="J4" s="61">
        <f t="shared" ref="J4:J12" si="6">VLOOKUP(RIGHT(B4,1),$J$16:$K$20,2,0)</f>
        <v>0.01</v>
      </c>
      <c r="K4" s="4">
        <f t="shared" ref="K4:K12" si="7">I4*J4*IF(E4&gt;=10,90%,1)</f>
        <v>1872</v>
      </c>
      <c r="L4" s="4">
        <f t="shared" ref="L4:L12" si="8">I4+K4</f>
        <v>189072</v>
      </c>
    </row>
    <row r="5" spans="1:12" x14ac:dyDescent="0.25">
      <c r="A5" s="37">
        <f>DATE(2000,1,9)</f>
        <v>36534</v>
      </c>
      <c r="B5" s="4" t="s">
        <v>114</v>
      </c>
      <c r="C5" s="4" t="str">
        <f t="shared" si="0"/>
        <v>Sữa chua nguyên chất</v>
      </c>
      <c r="D5" s="4">
        <v>100</v>
      </c>
      <c r="E5" s="4">
        <f t="shared" si="1"/>
        <v>4</v>
      </c>
      <c r="F5" s="4">
        <f t="shared" si="2"/>
        <v>4</v>
      </c>
      <c r="G5" s="4">
        <f t="shared" si="3"/>
        <v>2000</v>
      </c>
      <c r="H5" s="4">
        <f t="shared" si="4"/>
        <v>2300</v>
      </c>
      <c r="I5" s="4">
        <f t="shared" si="5"/>
        <v>201200</v>
      </c>
      <c r="J5" s="61">
        <f t="shared" si="6"/>
        <v>0.03</v>
      </c>
      <c r="K5" s="4">
        <f t="shared" si="7"/>
        <v>6036</v>
      </c>
      <c r="L5" s="4">
        <f t="shared" si="8"/>
        <v>207236</v>
      </c>
    </row>
    <row r="6" spans="1:12" x14ac:dyDescent="0.25">
      <c r="A6" s="37">
        <f>DATE(2000,2,9)</f>
        <v>36565</v>
      </c>
      <c r="B6" s="4" t="s">
        <v>115</v>
      </c>
      <c r="C6" s="4" t="str">
        <f t="shared" si="0"/>
        <v>Sữa chua dâu</v>
      </c>
      <c r="D6" s="4">
        <v>48</v>
      </c>
      <c r="E6" s="4">
        <f t="shared" si="1"/>
        <v>2</v>
      </c>
      <c r="F6" s="4">
        <f t="shared" si="2"/>
        <v>0</v>
      </c>
      <c r="G6" s="4">
        <f t="shared" si="3"/>
        <v>2400</v>
      </c>
      <c r="H6" s="4">
        <f t="shared" si="4"/>
        <v>2700</v>
      </c>
      <c r="I6" s="4">
        <f t="shared" si="5"/>
        <v>115200</v>
      </c>
      <c r="J6" s="61">
        <f t="shared" si="6"/>
        <v>2.5</v>
      </c>
      <c r="K6" s="4">
        <f t="shared" si="7"/>
        <v>288000</v>
      </c>
      <c r="L6" s="4">
        <f t="shared" si="8"/>
        <v>403200</v>
      </c>
    </row>
    <row r="7" spans="1:12" x14ac:dyDescent="0.25">
      <c r="A7" s="37">
        <f>DATE(2000,3,31)</f>
        <v>36616</v>
      </c>
      <c r="B7" s="4" t="s">
        <v>116</v>
      </c>
      <c r="C7" s="4" t="str">
        <f t="shared" si="0"/>
        <v>Sữa chua dừa</v>
      </c>
      <c r="D7" s="4">
        <v>30</v>
      </c>
      <c r="E7" s="4">
        <f t="shared" si="1"/>
        <v>1</v>
      </c>
      <c r="F7" s="4">
        <f t="shared" si="2"/>
        <v>6</v>
      </c>
      <c r="G7" s="4">
        <f t="shared" si="3"/>
        <v>2300</v>
      </c>
      <c r="H7" s="4">
        <f t="shared" si="4"/>
        <v>25000</v>
      </c>
      <c r="I7" s="4">
        <f t="shared" si="5"/>
        <v>205200</v>
      </c>
      <c r="J7" s="61">
        <f t="shared" si="6"/>
        <v>2.5</v>
      </c>
      <c r="K7" s="4">
        <f t="shared" si="7"/>
        <v>513000</v>
      </c>
      <c r="L7" s="4">
        <f t="shared" si="8"/>
        <v>718200</v>
      </c>
    </row>
    <row r="8" spans="1:12" x14ac:dyDescent="0.25">
      <c r="A8" s="37">
        <f>DATE(2000,1,10)</f>
        <v>36535</v>
      </c>
      <c r="B8" s="4" t="s">
        <v>117</v>
      </c>
      <c r="C8" s="4" t="str">
        <f t="shared" si="0"/>
        <v>Sữa chua dâu</v>
      </c>
      <c r="D8" s="4">
        <v>125</v>
      </c>
      <c r="E8" s="4">
        <f t="shared" si="1"/>
        <v>5</v>
      </c>
      <c r="F8" s="4">
        <f t="shared" si="2"/>
        <v>5</v>
      </c>
      <c r="G8" s="4">
        <f t="shared" si="3"/>
        <v>2400</v>
      </c>
      <c r="H8" s="4">
        <f t="shared" si="4"/>
        <v>2700</v>
      </c>
      <c r="I8" s="4">
        <f t="shared" si="5"/>
        <v>301500</v>
      </c>
      <c r="J8" s="61">
        <f t="shared" si="6"/>
        <v>0.02</v>
      </c>
      <c r="K8" s="4">
        <f t="shared" si="7"/>
        <v>6030</v>
      </c>
      <c r="L8" s="4">
        <f t="shared" si="8"/>
        <v>307530</v>
      </c>
    </row>
    <row r="9" spans="1:12" x14ac:dyDescent="0.25">
      <c r="A9" s="37">
        <f>DATE(2000,3,2)</f>
        <v>36587</v>
      </c>
      <c r="B9" s="4" t="s">
        <v>118</v>
      </c>
      <c r="C9" s="4" t="str">
        <f t="shared" si="0"/>
        <v>Sữa chua Chanh</v>
      </c>
      <c r="D9" s="4">
        <v>97</v>
      </c>
      <c r="E9" s="4">
        <f t="shared" si="1"/>
        <v>4</v>
      </c>
      <c r="F9" s="4">
        <f t="shared" si="2"/>
        <v>1</v>
      </c>
      <c r="G9" s="4">
        <f t="shared" si="3"/>
        <v>2200</v>
      </c>
      <c r="H9" s="4">
        <f t="shared" si="4"/>
        <v>2500</v>
      </c>
      <c r="I9" s="4">
        <f t="shared" si="5"/>
        <v>213700</v>
      </c>
      <c r="J9" s="61">
        <f t="shared" si="6"/>
        <v>0.01</v>
      </c>
      <c r="K9" s="4">
        <f t="shared" si="7"/>
        <v>2137</v>
      </c>
      <c r="L9" s="4">
        <f t="shared" si="8"/>
        <v>215837</v>
      </c>
    </row>
    <row r="10" spans="1:12" x14ac:dyDescent="0.25">
      <c r="A10" s="37">
        <f>DATE(2000,2,10)</f>
        <v>36566</v>
      </c>
      <c r="B10" s="4" t="s">
        <v>119</v>
      </c>
      <c r="C10" s="4" t="str">
        <f t="shared" si="0"/>
        <v>Sữa chua Chanh</v>
      </c>
      <c r="D10" s="4">
        <v>57</v>
      </c>
      <c r="E10" s="4">
        <f t="shared" si="1"/>
        <v>2</v>
      </c>
      <c r="F10" s="4">
        <f t="shared" si="2"/>
        <v>9</v>
      </c>
      <c r="G10" s="4">
        <f t="shared" si="3"/>
        <v>2200</v>
      </c>
      <c r="H10" s="4">
        <f t="shared" si="4"/>
        <v>2500</v>
      </c>
      <c r="I10" s="4">
        <f t="shared" si="5"/>
        <v>128100</v>
      </c>
      <c r="J10" s="61">
        <f t="shared" si="6"/>
        <v>0</v>
      </c>
      <c r="K10" s="4">
        <f t="shared" si="7"/>
        <v>0</v>
      </c>
      <c r="L10" s="4">
        <f t="shared" si="8"/>
        <v>128100</v>
      </c>
    </row>
    <row r="11" spans="1:12" x14ac:dyDescent="0.25">
      <c r="A11" s="37">
        <f>DATE(2000,3,15)</f>
        <v>36600</v>
      </c>
      <c r="B11" s="4" t="s">
        <v>120</v>
      </c>
      <c r="C11" s="4" t="str">
        <f t="shared" si="0"/>
        <v>Sữa chua dừa</v>
      </c>
      <c r="D11" s="4">
        <v>65</v>
      </c>
      <c r="E11" s="4">
        <f t="shared" si="1"/>
        <v>2</v>
      </c>
      <c r="F11" s="4">
        <f t="shared" si="2"/>
        <v>17</v>
      </c>
      <c r="G11" s="4">
        <f t="shared" si="3"/>
        <v>2300</v>
      </c>
      <c r="H11" s="4">
        <f t="shared" si="4"/>
        <v>25000</v>
      </c>
      <c r="I11" s="4">
        <f t="shared" si="5"/>
        <v>535400</v>
      </c>
      <c r="J11" s="61">
        <f t="shared" si="6"/>
        <v>0.03</v>
      </c>
      <c r="K11" s="4">
        <f t="shared" si="7"/>
        <v>16062</v>
      </c>
      <c r="L11" s="4">
        <f t="shared" si="8"/>
        <v>551462</v>
      </c>
    </row>
    <row r="12" spans="1:12" x14ac:dyDescent="0.25">
      <c r="A12" s="37">
        <f>DATE(2000,2,20)</f>
        <v>36576</v>
      </c>
      <c r="B12" s="4" t="s">
        <v>121</v>
      </c>
      <c r="C12" s="4" t="str">
        <f t="shared" si="0"/>
        <v>Sữa chua nguyên chất</v>
      </c>
      <c r="D12" s="4">
        <v>88</v>
      </c>
      <c r="E12" s="4">
        <f t="shared" si="1"/>
        <v>3</v>
      </c>
      <c r="F12" s="4">
        <f t="shared" si="2"/>
        <v>16</v>
      </c>
      <c r="G12" s="4">
        <f>VLOOKUP(LEFT(B12,2),$B$16:$E$20,3,0)</f>
        <v>2000</v>
      </c>
      <c r="H12" s="4">
        <f t="shared" si="4"/>
        <v>2300</v>
      </c>
      <c r="I12" s="4">
        <f t="shared" si="5"/>
        <v>180800</v>
      </c>
      <c r="J12" s="61">
        <f t="shared" si="6"/>
        <v>0</v>
      </c>
      <c r="K12" s="4">
        <f t="shared" si="7"/>
        <v>0</v>
      </c>
      <c r="L12" s="4">
        <f t="shared" si="8"/>
        <v>180800</v>
      </c>
    </row>
    <row r="14" spans="1:12" ht="15.75" x14ac:dyDescent="0.25">
      <c r="B14" s="58" t="s">
        <v>130</v>
      </c>
      <c r="C14" s="58"/>
      <c r="D14" s="58"/>
      <c r="E14" s="58"/>
      <c r="J14" s="15" t="s">
        <v>145</v>
      </c>
    </row>
    <row r="15" spans="1:12" x14ac:dyDescent="0.25">
      <c r="B15" s="40" t="s">
        <v>131</v>
      </c>
      <c r="C15" s="40" t="s">
        <v>137</v>
      </c>
      <c r="D15" s="40" t="s">
        <v>143</v>
      </c>
      <c r="E15" s="40" t="s">
        <v>144</v>
      </c>
      <c r="J15" s="40" t="s">
        <v>146</v>
      </c>
      <c r="K15" s="40" t="s">
        <v>149</v>
      </c>
    </row>
    <row r="16" spans="1:12" x14ac:dyDescent="0.25">
      <c r="B16" s="4" t="s">
        <v>132</v>
      </c>
      <c r="C16" s="4" t="s">
        <v>138</v>
      </c>
      <c r="D16" s="4">
        <v>2000</v>
      </c>
      <c r="E16" s="4">
        <v>2300</v>
      </c>
      <c r="J16" s="4" t="s">
        <v>101</v>
      </c>
      <c r="K16" s="38">
        <v>0.02</v>
      </c>
    </row>
    <row r="17" spans="2:11" x14ac:dyDescent="0.25">
      <c r="B17" s="4" t="s">
        <v>133</v>
      </c>
      <c r="C17" s="4" t="s">
        <v>139</v>
      </c>
      <c r="D17" s="4">
        <v>2400</v>
      </c>
      <c r="E17" s="4">
        <v>2700</v>
      </c>
      <c r="J17" s="4" t="s">
        <v>102</v>
      </c>
      <c r="K17" s="38">
        <v>0</v>
      </c>
    </row>
    <row r="18" spans="2:11" x14ac:dyDescent="0.25">
      <c r="B18" s="4" t="s">
        <v>134</v>
      </c>
      <c r="C18" s="4" t="s">
        <v>140</v>
      </c>
      <c r="D18" s="4">
        <v>2200</v>
      </c>
      <c r="E18" s="4">
        <v>2500</v>
      </c>
      <c r="J18" s="4" t="s">
        <v>103</v>
      </c>
      <c r="K18" s="38">
        <v>0.01</v>
      </c>
    </row>
    <row r="19" spans="2:11" x14ac:dyDescent="0.25">
      <c r="B19" s="4" t="s">
        <v>135</v>
      </c>
      <c r="C19" s="4" t="s">
        <v>141</v>
      </c>
      <c r="D19" s="4">
        <v>2600</v>
      </c>
      <c r="E19" s="4">
        <v>3000</v>
      </c>
      <c r="J19" s="4" t="s">
        <v>147</v>
      </c>
      <c r="K19" s="38">
        <v>0.03</v>
      </c>
    </row>
    <row r="20" spans="2:11" x14ac:dyDescent="0.25">
      <c r="B20" s="4" t="s">
        <v>136</v>
      </c>
      <c r="C20" s="4" t="s">
        <v>142</v>
      </c>
      <c r="D20" s="4">
        <v>2300</v>
      </c>
      <c r="E20" s="4">
        <v>25000</v>
      </c>
      <c r="J20" s="4" t="s">
        <v>148</v>
      </c>
      <c r="K20" s="38">
        <v>2.5</v>
      </c>
    </row>
  </sheetData>
  <mergeCells count="2">
    <mergeCell ref="A1:L1"/>
    <mergeCell ref="B14:E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BAI 1</vt:lpstr>
      <vt:lpstr>BAI 2</vt:lpstr>
      <vt:lpstr>BAI 3</vt:lpstr>
      <vt:lpstr>BAI 4</vt:lpstr>
      <vt:lpstr>BAI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Bảo Nam Blog</dc:creator>
  <cp:lastModifiedBy>Administrator</cp:lastModifiedBy>
  <cp:lastPrinted>2025-11-23T07:27:02Z</cp:lastPrinted>
  <dcterms:created xsi:type="dcterms:W3CDTF">2019-11-25T16:29:19Z</dcterms:created>
  <dcterms:modified xsi:type="dcterms:W3CDTF">2025-11-26T03:00:00Z</dcterms:modified>
</cp:coreProperties>
</file>