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I 1" sheetId="1" r:id="rId4"/>
    <sheet state="visible" name="BAI 2" sheetId="2" r:id="rId5"/>
    <sheet state="visible" name="BAI 3" sheetId="3" r:id="rId6"/>
    <sheet state="visible" name="BAI 4" sheetId="4" r:id="rId7"/>
    <sheet state="visible" name="BAI 5" sheetId="5" r:id="rId8"/>
  </sheets>
  <definedNames>
    <definedName name="TÊN_MẶT_HÀNG">#REF!</definedName>
    <definedName name="ĐƠN_GIÁ">#REF!</definedName>
    <definedName name="NGƯỜI_BÁN">#REF!</definedName>
    <definedName name="NCC">#REF!</definedName>
    <definedName name="STT">#REF!</definedName>
    <definedName name="TỔNG_TIỀN">#REF!</definedName>
    <definedName name="SL">#REF!</definedName>
  </definedNames>
  <calcPr/>
  <extLst>
    <ext uri="GoogleSheetsCustomDataVersion2">
      <go:sheetsCustomData xmlns:go="http://customooxmlschemas.google.com/" r:id="rId9" roundtripDataChecksum="mZ/QKKky4nTmy6XN56TKuXwDrwhKDsGRGuLbi9ZtcMA="/>
    </ext>
  </extLst>
</workbook>
</file>

<file path=xl/sharedStrings.xml><?xml version="1.0" encoding="utf-8"?>
<sst xmlns="http://schemas.openxmlformats.org/spreadsheetml/2006/main" count="156" uniqueCount="149">
  <si>
    <t>Tháng</t>
  </si>
  <si>
    <t>BẢNG TÍNH TIỀN ĐIỆN</t>
  </si>
  <si>
    <t>LOẠI
SD</t>
  </si>
  <si>
    <t>CHỈ SỐ
ĐẦU</t>
  </si>
  <si>
    <t>CHỈ SỐ
CUỐI</t>
  </si>
  <si>
    <t>HỆ SỐ</t>
  </si>
  <si>
    <t>THÀNH
TIỀN</t>
  </si>
  <si>
    <t>PHỤ
TRỘI</t>
  </si>
  <si>
    <t>CỘNG</t>
  </si>
  <si>
    <t>KD</t>
  </si>
  <si>
    <t>NN</t>
  </si>
  <si>
    <t>CN</t>
  </si>
  <si>
    <t>TT</t>
  </si>
  <si>
    <t>THỰC HÀNH TÍNH BẢNG LƯƠNG</t>
  </si>
  <si>
    <t>MSNV</t>
  </si>
  <si>
    <t>TÊN</t>
  </si>
  <si>
    <t>CHỨC VỤ</t>
  </si>
  <si>
    <t>PHÒNG BAN</t>
  </si>
  <si>
    <t>LƯƠNG CB</t>
  </si>
  <si>
    <t>LƯƠNG CHÍNH</t>
  </si>
  <si>
    <t>PHỤ CẤP CHỨC VỤ</t>
  </si>
  <si>
    <t>THỰC LÃNH</t>
  </si>
  <si>
    <t>01AGD</t>
  </si>
  <si>
    <t>Xuân</t>
  </si>
  <si>
    <t>02CHC</t>
  </si>
  <si>
    <t>Hạ</t>
  </si>
  <si>
    <t>03BGD</t>
  </si>
  <si>
    <t>Thu</t>
  </si>
  <si>
    <t>04DHC</t>
  </si>
  <si>
    <t>Đông</t>
  </si>
  <si>
    <t>05DKH</t>
  </si>
  <si>
    <t>Bắc</t>
  </si>
  <si>
    <t>06CKH</t>
  </si>
  <si>
    <t>Trung</t>
  </si>
  <si>
    <t>07DHC</t>
  </si>
  <si>
    <t>Nam</t>
  </si>
  <si>
    <t>08DHC</t>
  </si>
  <si>
    <t>Công</t>
  </si>
  <si>
    <t>09DKH</t>
  </si>
  <si>
    <t>Chính</t>
  </si>
  <si>
    <t>10DHC</t>
  </si>
  <si>
    <t>Liêm</t>
  </si>
  <si>
    <t>11DHC</t>
  </si>
  <si>
    <t>Minh</t>
  </si>
  <si>
    <t>Tổng nhân sự Ban GĐ</t>
  </si>
  <si>
    <t>Thực lãnh cao nhất</t>
  </si>
  <si>
    <t>Tổng  nhân  sự Phòng HC</t>
  </si>
  <si>
    <t>Thực lãnh thấp nhất</t>
  </si>
  <si>
    <t>Tổng nhân sự Phòng KH</t>
  </si>
  <si>
    <t>Thực lãnh bình quân</t>
  </si>
  <si>
    <t>Tổng nhân sự toàn Công ty</t>
  </si>
  <si>
    <t>Tổng thực lãnh ban GĐ</t>
  </si>
  <si>
    <t>Tổng thực lãnh Phòng HC</t>
  </si>
  <si>
    <t>Tổng thực lãnh phòng KH</t>
  </si>
  <si>
    <t>DANH SÁCH THI TUYỂN</t>
  </si>
  <si>
    <t>STT</t>
  </si>
  <si>
    <t>TÊN THÍ SINH</t>
  </si>
  <si>
    <t>NHẬP ĐIỂM</t>
  </si>
  <si>
    <t>LÝ
THUYẾT</t>
  </si>
  <si>
    <t>THỰC
HÀNH</t>
  </si>
  <si>
    <t>ĐTB</t>
  </si>
  <si>
    <t>XẾP
LOẠI</t>
  </si>
  <si>
    <t>LT</t>
  </si>
  <si>
    <t>TH</t>
  </si>
  <si>
    <t>Đỗ Bảo Nam Blog</t>
  </si>
  <si>
    <t>Nguyễn Quỳnh Anh</t>
  </si>
  <si>
    <t>Nguyễn Đức Cảnh</t>
  </si>
  <si>
    <t>Đinh Thanh Hải</t>
  </si>
  <si>
    <t>Nguyễn Thị Nhung</t>
  </si>
  <si>
    <t>BẢNG XẾP LOẠI</t>
  </si>
  <si>
    <t>Điểm</t>
  </si>
  <si>
    <t>Xếp loại</t>
  </si>
  <si>
    <t>Rớt</t>
  </si>
  <si>
    <t>Trung bình</t>
  </si>
  <si>
    <t>Khá</t>
  </si>
  <si>
    <t>Giỏi</t>
  </si>
  <si>
    <t>BẢNG KẾT QUẢ TUYỂN SINH</t>
  </si>
  <si>
    <t>SỐ TT</t>
  </si>
  <si>
    <t>HỌ VÀ TÊN</t>
  </si>
  <si>
    <t>MÃ SỐ NGÀNH-
ƯU TIÊN</t>
  </si>
  <si>
    <t>TÊN
NGÀNH</t>
  </si>
  <si>
    <t>TOÁN</t>
  </si>
  <si>
    <t>LÝ</t>
  </si>
  <si>
    <t>CỘNG
ĐIỂM</t>
  </si>
  <si>
    <t>ĐIỂM
ƯU TIÊN</t>
  </si>
  <si>
    <t>TỔNG
CỘNG</t>
  </si>
  <si>
    <t>KẾT
QUẢ</t>
  </si>
  <si>
    <t>Đỗ Bảo Nam</t>
  </si>
  <si>
    <t>A1</t>
  </si>
  <si>
    <t>Trần Thị Vy</t>
  </si>
  <si>
    <t>B3</t>
  </si>
  <si>
    <t>Hồ Thị Ly</t>
  </si>
  <si>
    <t>C2</t>
  </si>
  <si>
    <t>Lý Thị Vân</t>
  </si>
  <si>
    <t>C4</t>
  </si>
  <si>
    <t>ĐIỂM ƯU TIÊN</t>
  </si>
  <si>
    <t>NGÀNH
HỌC</t>
  </si>
  <si>
    <t>Mã ngành</t>
  </si>
  <si>
    <t>A</t>
  </si>
  <si>
    <t>B</t>
  </si>
  <si>
    <t>C</t>
  </si>
  <si>
    <t>Mã
ưu tiên</t>
  </si>
  <si>
    <t>Tên ngành</t>
  </si>
  <si>
    <t>Tin học</t>
  </si>
  <si>
    <t>Lý</t>
  </si>
  <si>
    <t>Hóa</t>
  </si>
  <si>
    <t>BÁO CÁO DOANH THU QUÝ 1/2009</t>
  </si>
  <si>
    <t>Ngày xuất</t>
  </si>
  <si>
    <t>Mã HĐ</t>
  </si>
  <si>
    <t>Tên Hàng</t>
  </si>
  <si>
    <t>Tổng số hộp</t>
  </si>
  <si>
    <t>Số thùng</t>
  </si>
  <si>
    <t>Số hộp lẻ</t>
  </si>
  <si>
    <t>Đơn giá sĩ</t>
  </si>
  <si>
    <t>Đơn giá lẻ</t>
  </si>
  <si>
    <t>Thành tiền</t>
  </si>
  <si>
    <t>Phí vận chuyển %</t>
  </si>
  <si>
    <t>Vận chuyển</t>
  </si>
  <si>
    <t>Tổng cộng</t>
  </si>
  <si>
    <t>YC01A</t>
  </si>
  <si>
    <t>YV02C</t>
  </si>
  <si>
    <t>YS03D</t>
  </si>
  <si>
    <t>YD04E</t>
  </si>
  <si>
    <t>YT05E</t>
  </si>
  <si>
    <t>YD06A</t>
  </si>
  <si>
    <t>YC07C</t>
  </si>
  <si>
    <t>YC08B</t>
  </si>
  <si>
    <t>YT09D</t>
  </si>
  <si>
    <t>YS01B</t>
  </si>
  <si>
    <t>Bảng đơn giá</t>
  </si>
  <si>
    <t>Bảng phí chuyên chở</t>
  </si>
  <si>
    <t>Mã hàng</t>
  </si>
  <si>
    <t>Tên hàng</t>
  </si>
  <si>
    <t>Đgiá sĩ</t>
  </si>
  <si>
    <t>Đgiá lẻ</t>
  </si>
  <si>
    <t>Khu vực</t>
  </si>
  <si>
    <t>Phí chở</t>
  </si>
  <si>
    <t>YS</t>
  </si>
  <si>
    <t>Sữa chua nguyên chất</t>
  </si>
  <si>
    <t>YD</t>
  </si>
  <si>
    <t>Sữa chua dâu</t>
  </si>
  <si>
    <t>YC</t>
  </si>
  <si>
    <t>Sữa chua Chanh</t>
  </si>
  <si>
    <t>YV</t>
  </si>
  <si>
    <t>Sữa chua vãi</t>
  </si>
  <si>
    <t>D</t>
  </si>
  <si>
    <t>YT</t>
  </si>
  <si>
    <t>Sữa chua dừa</t>
  </si>
  <si>
    <t>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</si>
</sst>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0.0"/>
  </numFmts>
  <fonts count="8">
    <font>
      <sz val="11.0"/>
      <color theme="1"/>
      <name val="Calibri"/>
      <scheme val="minor"/>
    </font>
    <font>
      <sz val="11.0"/>
      <color theme="1"/>
      <name val="Times New Roman"/>
    </font>
    <font>
      <b/>
      <sz val="14.0"/>
      <color theme="1"/>
      <name val="Times New Roman"/>
    </font>
    <font/>
    <font>
      <b/>
      <sz val="12.0"/>
      <color theme="1"/>
      <name val="Times New Roman"/>
    </font>
    <font>
      <sz val="12.0"/>
      <color theme="1"/>
      <name val="Times New Roman"/>
    </font>
    <font>
      <b/>
      <sz val="16.0"/>
      <color theme="1"/>
      <name val="Times New Roman"/>
    </font>
    <font>
      <sz val="14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/>
    </xf>
    <xf borderId="4" fillId="0" fontId="5" numFmtId="164" xfId="0" applyAlignment="1" applyBorder="1" applyFont="1" applyNumberFormat="1">
      <alignment horizontal="right"/>
    </xf>
    <xf borderId="4" fillId="0" fontId="5" numFmtId="164" xfId="0" applyAlignment="1" applyBorder="1" applyFont="1" applyNumberFormat="1">
      <alignment horizontal="left"/>
    </xf>
    <xf borderId="4" fillId="0" fontId="5" numFmtId="0" xfId="0" applyAlignment="1" applyBorder="1" applyFont="1">
      <alignment horizontal="right"/>
    </xf>
    <xf borderId="6" fillId="3" fontId="6" numFmtId="0" xfId="0" applyAlignment="1" applyBorder="1" applyFill="1" applyFont="1">
      <alignment horizontal="center"/>
    </xf>
    <xf borderId="7" fillId="0" fontId="3" numFmtId="0" xfId="0" applyBorder="1" applyFont="1"/>
    <xf borderId="8" fillId="0" fontId="3" numFmtId="0" xfId="0" applyBorder="1" applyFont="1"/>
    <xf borderId="4" fillId="4" fontId="1" numFmtId="0" xfId="0" applyAlignment="1" applyBorder="1" applyFill="1" applyFont="1">
      <alignment horizontal="center" vertical="center"/>
    </xf>
    <xf borderId="4" fillId="4" fontId="1" numFmtId="0" xfId="0" applyAlignment="1" applyBorder="1" applyFont="1">
      <alignment horizontal="center" shrinkToFit="0" vertical="center" wrapText="1"/>
    </xf>
    <xf borderId="4" fillId="0" fontId="1" numFmtId="0" xfId="0" applyBorder="1" applyFont="1"/>
    <xf borderId="4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/>
    </xf>
    <xf borderId="9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9" fillId="2" fontId="4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4" fillId="0" fontId="4" numFmtId="0" xfId="0" applyAlignment="1" applyBorder="1" applyFont="1">
      <alignment horizontal="left"/>
    </xf>
    <xf borderId="0" fillId="0" fontId="5" numFmtId="0" xfId="0" applyAlignment="1" applyFont="1">
      <alignment horizontal="left"/>
    </xf>
    <xf borderId="0" fillId="0" fontId="4" numFmtId="0" xfId="0" applyAlignment="1" applyFont="1">
      <alignment horizontal="left"/>
    </xf>
    <xf borderId="1" fillId="2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Font="1"/>
    <xf borderId="0" fillId="0" fontId="7" numFmtId="0" xfId="0" applyAlignment="1" applyFont="1">
      <alignment shrinkToFit="0" vertical="center" wrapText="1"/>
    </xf>
    <xf borderId="4" fillId="2" fontId="4" numFmtId="0" xfId="0" applyAlignment="1" applyBorder="1" applyFont="1">
      <alignment horizontal="center"/>
    </xf>
    <xf borderId="4" fillId="0" fontId="5" numFmtId="0" xfId="0" applyBorder="1" applyFont="1"/>
    <xf borderId="11" fillId="0" fontId="4" numFmtId="0" xfId="0" applyAlignment="1" applyBorder="1" applyFont="1">
      <alignment horizontal="center" vertical="center"/>
    </xf>
    <xf borderId="12" fillId="0" fontId="3" numFmtId="0" xfId="0" applyBorder="1" applyFont="1"/>
    <xf borderId="13" fillId="0" fontId="3" numFmtId="0" xfId="0" applyBorder="1" applyFont="1"/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vertical="center"/>
    </xf>
    <xf borderId="4" fillId="0" fontId="5" numFmtId="165" xfId="0" applyAlignment="1" applyBorder="1" applyFont="1" applyNumberFormat="1">
      <alignment vertical="center"/>
    </xf>
    <xf borderId="4" fillId="0" fontId="5" numFmtId="0" xfId="0" applyAlignment="1" applyBorder="1" applyFont="1">
      <alignment horizontal="right" vertical="center"/>
    </xf>
    <xf borderId="0" fillId="0" fontId="4" numFmtId="164" xfId="0" applyAlignment="1" applyFont="1" applyNumberFormat="1">
      <alignment vertical="center"/>
    </xf>
    <xf borderId="0" fillId="0" fontId="5" numFmtId="0" xfId="0" applyAlignment="1" applyFont="1">
      <alignment vertical="center"/>
    </xf>
    <xf borderId="1" fillId="0" fontId="4" numFmtId="0" xfId="0" applyAlignment="1" applyBorder="1" applyFont="1">
      <alignment horizontal="center" vertical="center"/>
    </xf>
    <xf borderId="0" fillId="0" fontId="5" numFmtId="164" xfId="0" applyAlignment="1" applyFont="1" applyNumberFormat="1">
      <alignment horizontal="right"/>
    </xf>
    <xf borderId="0" fillId="0" fontId="5" numFmtId="164" xfId="0" applyAlignment="1" applyFont="1" applyNumberFormat="1">
      <alignment horizontal="left"/>
    </xf>
    <xf borderId="9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vertical="center"/>
    </xf>
    <xf borderId="0" fillId="0" fontId="6" numFmtId="0" xfId="0" applyAlignment="1" applyFont="1">
      <alignment horizontal="center"/>
    </xf>
    <xf borderId="4" fillId="5" fontId="1" numFmtId="0" xfId="0" applyAlignment="1" applyBorder="1" applyFill="1" applyFont="1">
      <alignment horizontal="center" shrinkToFit="0" vertical="center" wrapText="1"/>
    </xf>
    <xf borderId="4" fillId="0" fontId="1" numFmtId="14" xfId="0" applyBorder="1" applyFont="1" applyNumberFormat="1"/>
    <xf borderId="4" fillId="6" fontId="1" numFmtId="0" xfId="0" applyAlignment="1" applyBorder="1" applyFill="1" applyFont="1">
      <alignment horizontal="center"/>
    </xf>
    <xf borderId="4" fillId="0" fontId="1" numFmtId="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2</xdr:row>
      <xdr:rowOff>209550</xdr:rowOff>
    </xdr:from>
    <xdr:ext cx="5419725" cy="2800350"/>
    <xdr:sp>
      <xdr:nvSpPr>
        <xdr:cNvPr id="3" name="Shape 3"/>
        <xdr:cNvSpPr/>
      </xdr:nvSpPr>
      <xdr:spPr>
        <a:xfrm>
          <a:off x="2640900" y="2389350"/>
          <a:ext cx="5410200" cy="2781300"/>
        </a:xfrm>
        <a:prstGeom prst="rect">
          <a:avLst/>
        </a:prstGeom>
        <a:solidFill>
          <a:srgbClr val="D5DBE5"/>
        </a:solidFill>
        <a:ln cap="flat" cmpd="sng" w="12700">
          <a:solidFill>
            <a:schemeClr val="accent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 u="sng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YÊU CẦU CỦA BÀI TẬP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1) - Nhập và định dạng dữ liệu như bảng tính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2) - Tính cột HỆ SỐ như sau: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Nếu Loại SD là "KD" thì Hệ số = 3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Nếu Loại SD là "NN" thì Hệ số = 5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Nếu Loại SD là "TT" thì Hệ số = 4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Nếu Loại SD là "CN" thì Hệ số = 2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3) - Tính THÀNH TIỀN = (Chỉ số cuối - Chỉ số đầu) * Hệ số *550.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4) - Tính PHỤ TRỘI như sau: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Phụ trội = 0 nếu (Chỉ số cuối - Chỉ số đầu) &lt; 50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Phụ trội = Thành tiền * 35% nếu 50 &lt;= (Chỉ số cuối - Chỉ số đầu) &lt;= 100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Phụ trội = Thành tiền * 100% nếu (Chỉ số cuối - Chỉ số đầu) &gt; 100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5) - Tính CỘNG = Phụ trội + Thành tiền.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6) - Tháng: Dùng hàm lấy ra tháng hiện tại.</a:t>
          </a:r>
          <a:endParaRPr sz="1400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171450</xdr:colOff>
      <xdr:row>3</xdr:row>
      <xdr:rowOff>0</xdr:rowOff>
    </xdr:from>
    <xdr:ext cx="4791075" cy="2819400"/>
    <xdr:sp>
      <xdr:nvSpPr>
        <xdr:cNvPr id="4" name="Shape 4"/>
        <xdr:cNvSpPr/>
      </xdr:nvSpPr>
      <xdr:spPr>
        <a:xfrm>
          <a:off x="2959988" y="2379825"/>
          <a:ext cx="4772025" cy="2800350"/>
        </a:xfrm>
        <a:prstGeom prst="rect">
          <a:avLst/>
        </a:prstGeom>
        <a:solidFill>
          <a:srgbClr val="E1EFD8"/>
        </a:solidFill>
        <a:ln cap="flat" cmpd="sng" w="12700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sng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Ý NGHĨA MSNV: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- </a:t>
          </a:r>
          <a:r>
            <a:rPr lang="en-US" sz="12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2 Ký tự đầu: Số TT </a:t>
          </a:r>
          <a:endParaRPr sz="1200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- Ký tự thứ 3: Mã số chức vụ ( A: Giám đốc, B: Phó GĐ, C: Trưởng Phòng, D: Nhân viên)</a:t>
          </a:r>
          <a:endParaRPr sz="1200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 u="sng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YÊU</a:t>
          </a:r>
          <a:r>
            <a:rPr b="1" lang="en-US" sz="1200" u="sng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CẦU:</a:t>
          </a:r>
          <a:endParaRPr b="1" sz="1200" u="sng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1. Tính cột chức vụ và phòng ban </a:t>
          </a:r>
          <a:endParaRPr sz="1200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2. Tính cột Lương CB, biết rằng Lương CB của: Giám đốc = 500000, Phó GĐ = 450000, Trưởng phòng = 400000, Nhân viên = 300000 </a:t>
          </a:r>
          <a:endParaRPr sz="1200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3. Tính lương chính, biết rằng Lương chính = Lương CB * Hệ số </a:t>
          </a:r>
          <a:endParaRPr sz="1200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4. Tính phụ cấp chức vụ ( PCCV). Biết rằng PCCV của: Giám đốc là 200000, Phó GĐ là 150000, Trưởng phòng là 100000, Nhân viên không có phụ cấp</a:t>
          </a:r>
          <a:endParaRPr sz="1200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5. Tính cột Thực lãnh, biết rằng Thực lãnh = Lương Chính + PCCV </a:t>
          </a:r>
          <a:endParaRPr sz="1200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6. Tính các ô tổng hợp</a:t>
          </a:r>
          <a:endParaRPr sz="1200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266700</xdr:colOff>
      <xdr:row>2</xdr:row>
      <xdr:rowOff>152400</xdr:rowOff>
    </xdr:from>
    <xdr:ext cx="4895850" cy="2276475"/>
    <xdr:sp>
      <xdr:nvSpPr>
        <xdr:cNvPr id="5" name="Shape 5"/>
        <xdr:cNvSpPr/>
      </xdr:nvSpPr>
      <xdr:spPr>
        <a:xfrm>
          <a:off x="2902838" y="2646525"/>
          <a:ext cx="4886325" cy="2266950"/>
        </a:xfrm>
        <a:prstGeom prst="rect">
          <a:avLst/>
        </a:prstGeom>
        <a:solidFill>
          <a:srgbClr val="DDEAF6"/>
        </a:solidFill>
        <a:ln cap="flat" cmpd="sng" w="12700">
          <a:solidFill>
            <a:schemeClr val="accent5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 u="sng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YÊU CẦU CỦA BÀI TẬP: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1) - Nhập và định dạng dữ liệu như bảng tính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2) - Tính điểm LÝ THUYẾT như sau: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   LÝ THUYẾT = LT/10 nếu LT&gt;10, ngược lại LÝ THUYẾT = LT.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3) - Tính điểm THỰC HÀNH như sau: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   THỰC HÀNH = TH/10 nếu TH&gt;10, ngược lại THỰC HÀNH = TH.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3) - Tính ĐTB = (LÝ THUYẾT + THỰC HÀNH)/2.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4) - Xếp loại cho thí sinh dựa vào BẢNG XẾP LOẠI.</a:t>
          </a:r>
          <a:endParaRPr sz="1400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361950</xdr:colOff>
      <xdr:row>8</xdr:row>
      <xdr:rowOff>123825</xdr:rowOff>
    </xdr:from>
    <xdr:ext cx="4886325" cy="2514600"/>
    <xdr:sp>
      <xdr:nvSpPr>
        <xdr:cNvPr id="6" name="Shape 6"/>
        <xdr:cNvSpPr/>
      </xdr:nvSpPr>
      <xdr:spPr>
        <a:xfrm>
          <a:off x="2907600" y="2527463"/>
          <a:ext cx="4876800" cy="2505075"/>
        </a:xfrm>
        <a:prstGeom prst="rect">
          <a:avLst/>
        </a:prstGeom>
        <a:solidFill>
          <a:srgbClr val="FBE4D4"/>
        </a:solidFill>
        <a:ln cap="flat" cmpd="sng" w="12700">
          <a:solidFill>
            <a:schemeClr val="accent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 u="sng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YÊU CẦU CỦA BÀI TẬP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1) - Nhập và định dạng dữ liệu như bảng tính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2) - TÊN NGÀNH: Căn cứ vào ký tự đầu của MÃ SỐ NGÀNH-ƯU TIÊN,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tra cứu trong bảng NGÀNH HỌC.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3) - CỘNG ĐIỂM = (TOÁN*2 + LÝ)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4) - ĐIỂM ƯU TIÊN: Căn cứ vào ký tự cuối của MÃ SỐ NGÀNH-ƯU TIÊN,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tra trong bảng ĐIỂM ƯU TIÊN.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5) - TỔNG CỘNG = CỘNG ĐIỂM + ĐIỂM ƯU TIÊN.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6) - KẾT QUẢ: Nếu TỔNG CỘNG &gt; 18 thì ghi Đậu, ngược lại ghi Rớt.</a:t>
          </a:r>
          <a:endParaRPr sz="1400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22</xdr:row>
      <xdr:rowOff>76200</xdr:rowOff>
    </xdr:from>
    <xdr:ext cx="4867275" cy="2057400"/>
    <xdr:sp>
      <xdr:nvSpPr>
        <xdr:cNvPr id="7" name="Shape 7"/>
        <xdr:cNvSpPr/>
      </xdr:nvSpPr>
      <xdr:spPr>
        <a:xfrm>
          <a:off x="2921888" y="2756063"/>
          <a:ext cx="4848225" cy="2047875"/>
        </a:xfrm>
        <a:prstGeom prst="rect">
          <a:avLst/>
        </a:prstGeom>
        <a:solidFill>
          <a:srgbClr val="FFF2CC"/>
        </a:solidFill>
        <a:ln cap="flat" cmpd="sng" w="12700">
          <a:solidFill>
            <a:srgbClr val="7F6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 u="sng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Yêu cầu: </a:t>
          </a:r>
          <a:endParaRPr b="1" sz="1400" u="sng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1. Dựa vào Bảng đơn giá và bảng phí vận chuyển. Lập công thức điền vào Tên hàng; đơn giá sỉ; đơn giá lẻ; phí vận chuyển </a:t>
          </a:r>
          <a:endParaRPr sz="1400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2. Tính số thùng, số hộp lẻ. Biết rằng 1 thùng có 24 hộp </a:t>
          </a:r>
          <a:endParaRPr sz="1400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3. Thành tiền = đơn giá sỉ * số thùng</a:t>
          </a:r>
          <a:r>
            <a:rPr lang="en-US" sz="14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*24</a:t>
          </a:r>
          <a:r>
            <a:rPr lang="en-US" sz="14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+ đơn giá lẻ * số hộp lẻ </a:t>
          </a:r>
          <a:endParaRPr sz="1400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4. Vận chuyển = phí vận chuyển * thành tiền, nếu số thùng&gt;=10 thì vận chuyển giảm giảm 10%, ngược lại không giảm </a:t>
          </a:r>
          <a:endParaRPr sz="1400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5. Tổng cộng = thành tiền + vận chuyển</a:t>
          </a:r>
          <a:endParaRPr sz="1400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4.0"/>
    <col customWidth="1" min="5" max="5" width="8.71"/>
    <col customWidth="1" min="6" max="6" width="17.0"/>
    <col customWidth="1" min="7" max="26" width="8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1"/>
      <c r="E2" s="1"/>
      <c r="F2" s="1"/>
      <c r="G2" s="1" t="s">
        <v>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2" t="s">
        <v>1</v>
      </c>
      <c r="C3" s="3"/>
      <c r="D3" s="3"/>
      <c r="E3" s="3"/>
      <c r="F3" s="3"/>
      <c r="G3" s="3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5" t="s">
        <v>2</v>
      </c>
      <c r="C4" s="5" t="s">
        <v>3</v>
      </c>
      <c r="D4" s="6" t="s">
        <v>4</v>
      </c>
      <c r="E4" s="5" t="s">
        <v>5</v>
      </c>
      <c r="F4" s="7" t="s">
        <v>6</v>
      </c>
      <c r="G4" s="5" t="s">
        <v>7</v>
      </c>
      <c r="H4" s="5" t="s">
        <v>8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8" t="s">
        <v>9</v>
      </c>
      <c r="C5" s="9">
        <v>400.0</v>
      </c>
      <c r="D5" s="9">
        <v>1500.0</v>
      </c>
      <c r="E5" s="8"/>
      <c r="F5" s="9"/>
      <c r="G5" s="9"/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8" t="s">
        <v>10</v>
      </c>
      <c r="C6" s="9">
        <v>58.0</v>
      </c>
      <c r="D6" s="9">
        <v>400.0</v>
      </c>
      <c r="E6" s="8"/>
      <c r="F6" s="9"/>
      <c r="G6" s="9"/>
      <c r="H6" s="1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8" t="s">
        <v>11</v>
      </c>
      <c r="C7" s="9">
        <v>150.0</v>
      </c>
      <c r="D7" s="9">
        <v>700.0</v>
      </c>
      <c r="E7" s="8"/>
      <c r="F7" s="9"/>
      <c r="G7" s="9"/>
      <c r="H7" s="1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8" t="s">
        <v>12</v>
      </c>
      <c r="C8" s="9">
        <v>90.0</v>
      </c>
      <c r="D8" s="9">
        <v>150.0</v>
      </c>
      <c r="E8" s="8"/>
      <c r="F8" s="9"/>
      <c r="G8" s="9"/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8" t="s">
        <v>9</v>
      </c>
      <c r="C9" s="9">
        <v>34.0</v>
      </c>
      <c r="D9" s="9">
        <v>87.0</v>
      </c>
      <c r="E9" s="8"/>
      <c r="F9" s="9"/>
      <c r="G9" s="9"/>
      <c r="H9" s="1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8" t="s">
        <v>10</v>
      </c>
      <c r="C10" s="11">
        <v>50.0</v>
      </c>
      <c r="D10" s="11">
        <v>90.0</v>
      </c>
      <c r="E10" s="8"/>
      <c r="F10" s="9"/>
      <c r="G10" s="9"/>
      <c r="H10" s="1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3:H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43"/>
  </cols>
  <sheetData>
    <row r="1" ht="13.5" customHeight="1">
      <c r="A1" s="12" t="s">
        <v>13</v>
      </c>
      <c r="B1" s="13"/>
      <c r="C1" s="13"/>
      <c r="D1" s="13"/>
      <c r="E1" s="13"/>
      <c r="F1" s="13"/>
      <c r="G1" s="13"/>
      <c r="H1" s="13"/>
      <c r="I1" s="1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5" t="s">
        <v>14</v>
      </c>
      <c r="B3" s="15" t="s">
        <v>15</v>
      </c>
      <c r="C3" s="15" t="s">
        <v>16</v>
      </c>
      <c r="D3" s="16" t="s">
        <v>17</v>
      </c>
      <c r="E3" s="16" t="s">
        <v>18</v>
      </c>
      <c r="F3" s="15" t="s">
        <v>5</v>
      </c>
      <c r="G3" s="16" t="s">
        <v>19</v>
      </c>
      <c r="H3" s="16" t="s">
        <v>20</v>
      </c>
      <c r="I3" s="16" t="s">
        <v>21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7" t="s">
        <v>22</v>
      </c>
      <c r="B4" s="17" t="s">
        <v>23</v>
      </c>
      <c r="C4" s="17"/>
      <c r="D4" s="18"/>
      <c r="E4" s="17"/>
      <c r="F4" s="17">
        <v>5.2</v>
      </c>
      <c r="G4" s="17"/>
      <c r="H4" s="17"/>
      <c r="I4" s="1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7" t="s">
        <v>24</v>
      </c>
      <c r="B5" s="17" t="s">
        <v>25</v>
      </c>
      <c r="C5" s="17"/>
      <c r="D5" s="17"/>
      <c r="E5" s="17"/>
      <c r="F5" s="17">
        <v>4.5</v>
      </c>
      <c r="G5" s="17"/>
      <c r="H5" s="17"/>
      <c r="I5" s="1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7" t="s">
        <v>26</v>
      </c>
      <c r="B6" s="17" t="s">
        <v>27</v>
      </c>
      <c r="C6" s="17"/>
      <c r="D6" s="17"/>
      <c r="E6" s="17"/>
      <c r="F6" s="17">
        <v>4.8</v>
      </c>
      <c r="G6" s="17"/>
      <c r="H6" s="17"/>
      <c r="I6" s="1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7" t="s">
        <v>28</v>
      </c>
      <c r="B7" s="17" t="s">
        <v>29</v>
      </c>
      <c r="C7" s="17"/>
      <c r="D7" s="17"/>
      <c r="E7" s="17"/>
      <c r="F7" s="17">
        <v>3.5</v>
      </c>
      <c r="G7" s="17"/>
      <c r="H7" s="17"/>
      <c r="I7" s="1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7" t="s">
        <v>30</v>
      </c>
      <c r="B8" s="17" t="s">
        <v>31</v>
      </c>
      <c r="C8" s="17"/>
      <c r="D8" s="17"/>
      <c r="E8" s="17"/>
      <c r="F8" s="17">
        <v>2.9</v>
      </c>
      <c r="G8" s="17"/>
      <c r="H8" s="17"/>
      <c r="I8" s="1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7" t="s">
        <v>32</v>
      </c>
      <c r="B9" s="17" t="s">
        <v>33</v>
      </c>
      <c r="C9" s="17"/>
      <c r="D9" s="17"/>
      <c r="E9" s="17"/>
      <c r="F9" s="17">
        <v>4.6</v>
      </c>
      <c r="G9" s="17"/>
      <c r="H9" s="17"/>
      <c r="I9" s="1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7" t="s">
        <v>34</v>
      </c>
      <c r="B10" s="17" t="s">
        <v>35</v>
      </c>
      <c r="C10" s="17"/>
      <c r="D10" s="17"/>
      <c r="E10" s="17"/>
      <c r="F10" s="17">
        <v>3.4</v>
      </c>
      <c r="G10" s="17"/>
      <c r="H10" s="17"/>
      <c r="I10" s="1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7" t="s">
        <v>36</v>
      </c>
      <c r="B11" s="17" t="s">
        <v>37</v>
      </c>
      <c r="C11" s="17"/>
      <c r="D11" s="17"/>
      <c r="E11" s="17"/>
      <c r="F11" s="17">
        <v>2.5</v>
      </c>
      <c r="G11" s="17"/>
      <c r="H11" s="17"/>
      <c r="I11" s="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7" t="s">
        <v>38</v>
      </c>
      <c r="B12" s="17" t="s">
        <v>39</v>
      </c>
      <c r="C12" s="17"/>
      <c r="D12" s="17"/>
      <c r="E12" s="17"/>
      <c r="F12" s="17">
        <v>2.4</v>
      </c>
      <c r="G12" s="17"/>
      <c r="H12" s="17"/>
      <c r="I12" s="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7" t="s">
        <v>40</v>
      </c>
      <c r="B13" s="17" t="s">
        <v>41</v>
      </c>
      <c r="C13" s="17"/>
      <c r="D13" s="17"/>
      <c r="E13" s="17"/>
      <c r="F13" s="17">
        <v>3.7</v>
      </c>
      <c r="G13" s="17"/>
      <c r="H13" s="17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7" t="s">
        <v>42</v>
      </c>
      <c r="B14" s="17" t="s">
        <v>43</v>
      </c>
      <c r="C14" s="17"/>
      <c r="D14" s="17"/>
      <c r="E14" s="17"/>
      <c r="F14" s="17">
        <v>3.1</v>
      </c>
      <c r="G14" s="17"/>
      <c r="H14" s="17"/>
      <c r="I14" s="1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9" t="s">
        <v>44</v>
      </c>
      <c r="B15" s="3"/>
      <c r="C15" s="4"/>
      <c r="D15" s="17"/>
      <c r="E15" s="1"/>
      <c r="F15" s="19" t="s">
        <v>45</v>
      </c>
      <c r="G15" s="3"/>
      <c r="H15" s="4"/>
      <c r="I15" s="1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9" t="s">
        <v>46</v>
      </c>
      <c r="B16" s="3"/>
      <c r="C16" s="4"/>
      <c r="D16" s="17"/>
      <c r="E16" s="1"/>
      <c r="F16" s="19" t="s">
        <v>47</v>
      </c>
      <c r="G16" s="3"/>
      <c r="H16" s="4"/>
      <c r="I16" s="17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9" t="s">
        <v>48</v>
      </c>
      <c r="B17" s="3"/>
      <c r="C17" s="4"/>
      <c r="D17" s="17"/>
      <c r="E17" s="1"/>
      <c r="F17" s="19" t="s">
        <v>49</v>
      </c>
      <c r="G17" s="3"/>
      <c r="H17" s="4"/>
      <c r="I17" s="1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9" t="s">
        <v>50</v>
      </c>
      <c r="B18" s="3"/>
      <c r="C18" s="4"/>
      <c r="D18" s="17"/>
      <c r="E18" s="1"/>
      <c r="F18" s="19" t="s">
        <v>51</v>
      </c>
      <c r="G18" s="3"/>
      <c r="H18" s="4"/>
      <c r="I18" s="1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9" t="s">
        <v>52</v>
      </c>
      <c r="G19" s="3"/>
      <c r="H19" s="4"/>
      <c r="I19" s="1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9" t="s">
        <v>53</v>
      </c>
      <c r="G20" s="3"/>
      <c r="H20" s="4"/>
      <c r="I20" s="1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F17:H17"/>
    <mergeCell ref="F18:H18"/>
    <mergeCell ref="F19:H19"/>
    <mergeCell ref="F20:H20"/>
    <mergeCell ref="A1:I1"/>
    <mergeCell ref="A15:C15"/>
    <mergeCell ref="F15:H15"/>
    <mergeCell ref="A16:C16"/>
    <mergeCell ref="F16:H16"/>
    <mergeCell ref="A17:C17"/>
    <mergeCell ref="A18:C1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14"/>
    <col customWidth="1" min="3" max="4" width="8.71"/>
    <col customWidth="1" min="5" max="5" width="10.57"/>
    <col customWidth="1" min="6" max="26" width="8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2" t="s">
        <v>54</v>
      </c>
      <c r="B2" s="3"/>
      <c r="C2" s="3"/>
      <c r="D2" s="3"/>
      <c r="E2" s="3"/>
      <c r="F2" s="3"/>
      <c r="G2" s="3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20" t="s">
        <v>55</v>
      </c>
      <c r="B3" s="20" t="s">
        <v>56</v>
      </c>
      <c r="C3" s="21" t="s">
        <v>57</v>
      </c>
      <c r="D3" s="4"/>
      <c r="E3" s="22" t="s">
        <v>58</v>
      </c>
      <c r="F3" s="22" t="s">
        <v>59</v>
      </c>
      <c r="G3" s="20" t="s">
        <v>60</v>
      </c>
      <c r="H3" s="22" t="s">
        <v>61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23"/>
      <c r="B4" s="23"/>
      <c r="C4" s="7" t="s">
        <v>62</v>
      </c>
      <c r="D4" s="7" t="s">
        <v>63</v>
      </c>
      <c r="E4" s="23"/>
      <c r="F4" s="23"/>
      <c r="G4" s="23"/>
      <c r="H4" s="2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8">
        <v>1.0</v>
      </c>
      <c r="B5" s="10" t="s">
        <v>64</v>
      </c>
      <c r="C5" s="10">
        <v>45.0</v>
      </c>
      <c r="D5" s="10">
        <v>75.0</v>
      </c>
      <c r="E5" s="11"/>
      <c r="F5" s="11"/>
      <c r="G5" s="11"/>
      <c r="H5" s="2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8">
        <v>2.0</v>
      </c>
      <c r="B6" s="10" t="s">
        <v>65</v>
      </c>
      <c r="C6" s="10">
        <v>4.0</v>
      </c>
      <c r="D6" s="10">
        <v>4.5</v>
      </c>
      <c r="E6" s="11"/>
      <c r="F6" s="11"/>
      <c r="G6" s="11"/>
      <c r="H6" s="2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8">
        <v>3.0</v>
      </c>
      <c r="B7" s="10" t="s">
        <v>66</v>
      </c>
      <c r="C7" s="10">
        <v>56.0</v>
      </c>
      <c r="D7" s="10">
        <v>56.0</v>
      </c>
      <c r="E7" s="11"/>
      <c r="F7" s="11"/>
      <c r="G7" s="11"/>
      <c r="H7" s="2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8">
        <v>4.0</v>
      </c>
      <c r="B8" s="10" t="s">
        <v>67</v>
      </c>
      <c r="C8" s="10">
        <v>7.5</v>
      </c>
      <c r="D8" s="10">
        <v>6.5</v>
      </c>
      <c r="E8" s="11"/>
      <c r="F8" s="11"/>
      <c r="G8" s="11"/>
      <c r="H8" s="2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8">
        <v>5.0</v>
      </c>
      <c r="B9" s="10" t="s">
        <v>68</v>
      </c>
      <c r="C9" s="10">
        <v>89.0</v>
      </c>
      <c r="D9" s="10">
        <v>80.0</v>
      </c>
      <c r="E9" s="11"/>
      <c r="F9" s="11"/>
      <c r="G9" s="11"/>
      <c r="H9" s="2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25"/>
      <c r="B10" s="25"/>
      <c r="C10" s="25"/>
      <c r="D10" s="25"/>
      <c r="E10" s="26"/>
      <c r="F10" s="26"/>
      <c r="G10" s="26"/>
      <c r="H10" s="2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27" t="s">
        <v>69</v>
      </c>
      <c r="B11" s="4"/>
      <c r="C11" s="28"/>
      <c r="D11" s="28"/>
      <c r="E11" s="29"/>
      <c r="F11" s="30"/>
      <c r="G11" s="30"/>
      <c r="H11" s="30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31" t="s">
        <v>70</v>
      </c>
      <c r="B12" s="31" t="s">
        <v>71</v>
      </c>
      <c r="C12" s="28"/>
      <c r="D12" s="28"/>
      <c r="E12" s="29"/>
      <c r="F12" s="30"/>
      <c r="G12" s="30"/>
      <c r="H12" s="3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32">
        <v>0.0</v>
      </c>
      <c r="B13" s="32" t="s">
        <v>72</v>
      </c>
      <c r="C13" s="29"/>
      <c r="D13" s="29"/>
      <c r="E13" s="29"/>
      <c r="F13" s="30"/>
      <c r="G13" s="30"/>
      <c r="H13" s="3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32">
        <v>5.0</v>
      </c>
      <c r="B14" s="32" t="s">
        <v>73</v>
      </c>
      <c r="C14" s="29"/>
      <c r="D14" s="29"/>
      <c r="E14" s="29"/>
      <c r="F14" s="30"/>
      <c r="G14" s="30"/>
      <c r="H14" s="3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32">
        <v>8.0</v>
      </c>
      <c r="B15" s="32" t="s">
        <v>74</v>
      </c>
      <c r="C15" s="29"/>
      <c r="D15" s="29"/>
      <c r="E15" s="29"/>
      <c r="F15" s="30"/>
      <c r="G15" s="30"/>
      <c r="H15" s="30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32">
        <v>10.0</v>
      </c>
      <c r="B16" s="32" t="s">
        <v>75</v>
      </c>
      <c r="C16" s="29"/>
      <c r="D16" s="29"/>
      <c r="E16" s="29"/>
      <c r="F16" s="30"/>
      <c r="G16" s="30"/>
      <c r="H16" s="3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B3:B4"/>
    <mergeCell ref="A11:B11"/>
    <mergeCell ref="A2:H2"/>
    <mergeCell ref="A3:A4"/>
    <mergeCell ref="C3:D3"/>
    <mergeCell ref="E3:E4"/>
    <mergeCell ref="F3:F4"/>
    <mergeCell ref="G3:G4"/>
    <mergeCell ref="H3:H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29"/>
    <col customWidth="1" min="3" max="3" width="17.29"/>
    <col customWidth="1" min="4" max="7" width="8.71"/>
    <col customWidth="1" min="8" max="8" width="12.0"/>
    <col customWidth="1" min="9" max="9" width="11.29"/>
    <col customWidth="1" min="10" max="26" width="8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33" t="s">
        <v>76</v>
      </c>
      <c r="B3" s="34"/>
      <c r="C3" s="34"/>
      <c r="D3" s="34"/>
      <c r="E3" s="34"/>
      <c r="F3" s="34"/>
      <c r="G3" s="34"/>
      <c r="H3" s="34"/>
      <c r="I3" s="34"/>
      <c r="J3" s="3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57.75" customHeight="1">
      <c r="A4" s="5" t="s">
        <v>77</v>
      </c>
      <c r="B4" s="7" t="s">
        <v>78</v>
      </c>
      <c r="C4" s="5" t="s">
        <v>79</v>
      </c>
      <c r="D4" s="5" t="s">
        <v>80</v>
      </c>
      <c r="E4" s="7" t="s">
        <v>81</v>
      </c>
      <c r="F4" s="7" t="s">
        <v>82</v>
      </c>
      <c r="G4" s="5" t="s">
        <v>83</v>
      </c>
      <c r="H4" s="5" t="s">
        <v>84</v>
      </c>
      <c r="I4" s="5" t="s">
        <v>85</v>
      </c>
      <c r="J4" s="5" t="s">
        <v>86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36">
        <v>1.0</v>
      </c>
      <c r="B5" s="37" t="s">
        <v>87</v>
      </c>
      <c r="C5" s="36" t="s">
        <v>88</v>
      </c>
      <c r="D5" s="36"/>
      <c r="E5" s="38">
        <v>7.0</v>
      </c>
      <c r="F5" s="38">
        <v>3.0</v>
      </c>
      <c r="G5" s="39"/>
      <c r="H5" s="39"/>
      <c r="I5" s="39"/>
      <c r="J5" s="36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36">
        <v>2.0</v>
      </c>
      <c r="B6" s="37" t="s">
        <v>89</v>
      </c>
      <c r="C6" s="36" t="s">
        <v>90</v>
      </c>
      <c r="D6" s="36"/>
      <c r="E6" s="38">
        <v>4.0</v>
      </c>
      <c r="F6" s="38">
        <v>7.0</v>
      </c>
      <c r="G6" s="39"/>
      <c r="H6" s="39"/>
      <c r="I6" s="39"/>
      <c r="J6" s="36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36">
        <v>3.0</v>
      </c>
      <c r="B7" s="37" t="s">
        <v>91</v>
      </c>
      <c r="C7" s="36" t="s">
        <v>92</v>
      </c>
      <c r="D7" s="36"/>
      <c r="E7" s="38">
        <v>7.0</v>
      </c>
      <c r="F7" s="38">
        <v>6.0</v>
      </c>
      <c r="G7" s="39"/>
      <c r="H7" s="39"/>
      <c r="I7" s="39"/>
      <c r="J7" s="3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36">
        <v>4.0</v>
      </c>
      <c r="B8" s="37" t="s">
        <v>93</v>
      </c>
      <c r="C8" s="36" t="s">
        <v>94</v>
      </c>
      <c r="D8" s="36"/>
      <c r="E8" s="38">
        <v>6.0</v>
      </c>
      <c r="F8" s="38">
        <v>6.5</v>
      </c>
      <c r="G8" s="39"/>
      <c r="H8" s="39"/>
      <c r="I8" s="39"/>
      <c r="J8" s="3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40"/>
      <c r="B9" s="40"/>
      <c r="C9" s="40"/>
      <c r="D9" s="40"/>
      <c r="E9" s="40"/>
      <c r="F9" s="40"/>
      <c r="G9" s="40"/>
      <c r="H9" s="40"/>
      <c r="I9" s="40"/>
      <c r="J9" s="40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41"/>
      <c r="B10" s="41"/>
      <c r="C10" s="41"/>
      <c r="D10" s="41"/>
      <c r="E10" s="41"/>
      <c r="F10" s="41"/>
      <c r="G10" s="42" t="s">
        <v>95</v>
      </c>
      <c r="H10" s="4"/>
      <c r="I10" s="43"/>
      <c r="J10" s="4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45" t="s">
        <v>96</v>
      </c>
      <c r="B11" s="46" t="s">
        <v>97</v>
      </c>
      <c r="C11" s="36" t="s">
        <v>98</v>
      </c>
      <c r="D11" s="36" t="s">
        <v>99</v>
      </c>
      <c r="E11" s="36" t="s">
        <v>100</v>
      </c>
      <c r="F11" s="41"/>
      <c r="G11" s="47" t="s">
        <v>101</v>
      </c>
      <c r="H11" s="48" t="s">
        <v>70</v>
      </c>
      <c r="I11" s="29"/>
      <c r="J11" s="29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23"/>
      <c r="B12" s="46" t="s">
        <v>102</v>
      </c>
      <c r="C12" s="36" t="s">
        <v>103</v>
      </c>
      <c r="D12" s="36" t="s">
        <v>104</v>
      </c>
      <c r="E12" s="36" t="s">
        <v>105</v>
      </c>
      <c r="F12" s="41"/>
      <c r="G12" s="37">
        <v>1.0</v>
      </c>
      <c r="H12" s="37">
        <v>2.0</v>
      </c>
      <c r="I12" s="29"/>
      <c r="J12" s="29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41"/>
      <c r="B13" s="41"/>
      <c r="C13" s="41"/>
      <c r="D13" s="41"/>
      <c r="E13" s="41"/>
      <c r="F13" s="41"/>
      <c r="G13" s="37">
        <v>2.0</v>
      </c>
      <c r="H13" s="37">
        <v>1.5</v>
      </c>
      <c r="I13" s="29"/>
      <c r="J13" s="29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41"/>
      <c r="B14" s="41"/>
      <c r="C14" s="41"/>
      <c r="D14" s="41"/>
      <c r="E14" s="41"/>
      <c r="F14" s="41"/>
      <c r="G14" s="37">
        <v>3.0</v>
      </c>
      <c r="H14" s="37">
        <v>1.0</v>
      </c>
      <c r="I14" s="29"/>
      <c r="J14" s="29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41"/>
      <c r="B15" s="41"/>
      <c r="C15" s="41"/>
      <c r="D15" s="41"/>
      <c r="E15" s="41"/>
      <c r="F15" s="41"/>
      <c r="G15" s="37">
        <v>4.0</v>
      </c>
      <c r="H15" s="37">
        <v>0.0</v>
      </c>
      <c r="I15" s="29"/>
      <c r="J15" s="2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25"/>
      <c r="B16" s="25"/>
      <c r="C16" s="25"/>
      <c r="D16" s="25"/>
      <c r="E16" s="25"/>
      <c r="F16" s="25"/>
      <c r="G16" s="29"/>
      <c r="H16" s="29"/>
      <c r="I16" s="29"/>
      <c r="J16" s="29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A3:J3"/>
    <mergeCell ref="G10:H10"/>
    <mergeCell ref="A11:A1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9.86"/>
    <col customWidth="1" min="3" max="3" width="19.0"/>
    <col customWidth="1" min="4" max="10" width="8.71"/>
    <col customWidth="1" min="11" max="11" width="9.14"/>
    <col customWidth="1" min="12" max="26" width="8.71"/>
  </cols>
  <sheetData>
    <row r="1" ht="13.5" customHeight="1">
      <c r="A1" s="49" t="s">
        <v>106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50" t="s">
        <v>107</v>
      </c>
      <c r="B2" s="50" t="s">
        <v>108</v>
      </c>
      <c r="C2" s="50" t="s">
        <v>109</v>
      </c>
      <c r="D2" s="50" t="s">
        <v>110</v>
      </c>
      <c r="E2" s="50" t="s">
        <v>111</v>
      </c>
      <c r="F2" s="50" t="s">
        <v>112</v>
      </c>
      <c r="G2" s="50" t="s">
        <v>113</v>
      </c>
      <c r="H2" s="50" t="s">
        <v>114</v>
      </c>
      <c r="I2" s="50" t="s">
        <v>115</v>
      </c>
      <c r="J2" s="50" t="s">
        <v>116</v>
      </c>
      <c r="K2" s="50" t="s">
        <v>117</v>
      </c>
      <c r="L2" s="50" t="s">
        <v>118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51">
        <f>DATE(2000,1,7)</f>
        <v>36532</v>
      </c>
      <c r="B3" s="17" t="s">
        <v>119</v>
      </c>
      <c r="C3" s="17"/>
      <c r="D3" s="17">
        <v>50.0</v>
      </c>
      <c r="E3" s="17"/>
      <c r="F3" s="17"/>
      <c r="G3" s="17"/>
      <c r="H3" s="17"/>
      <c r="I3" s="17"/>
      <c r="J3" s="17"/>
      <c r="K3" s="17"/>
      <c r="L3" s="1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51">
        <f>DATE(2000,2,3)</f>
        <v>36559</v>
      </c>
      <c r="B4" s="17" t="s">
        <v>120</v>
      </c>
      <c r="C4" s="17"/>
      <c r="D4" s="17">
        <v>72.0</v>
      </c>
      <c r="E4" s="17"/>
      <c r="F4" s="17"/>
      <c r="G4" s="17"/>
      <c r="H4" s="17"/>
      <c r="I4" s="17"/>
      <c r="J4" s="17"/>
      <c r="K4" s="17"/>
      <c r="L4" s="1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51">
        <f>DATE(2000,1,9)</f>
        <v>36534</v>
      </c>
      <c r="B5" s="17" t="s">
        <v>121</v>
      </c>
      <c r="C5" s="17"/>
      <c r="D5" s="17">
        <v>100.0</v>
      </c>
      <c r="E5" s="17"/>
      <c r="F5" s="17"/>
      <c r="G5" s="17"/>
      <c r="H5" s="17"/>
      <c r="I5" s="17"/>
      <c r="J5" s="17"/>
      <c r="K5" s="17"/>
      <c r="L5" s="1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51">
        <f>DATE(2000,2,9)</f>
        <v>36565</v>
      </c>
      <c r="B6" s="17" t="s">
        <v>122</v>
      </c>
      <c r="C6" s="17"/>
      <c r="D6" s="17">
        <v>48.0</v>
      </c>
      <c r="E6" s="17"/>
      <c r="F6" s="17"/>
      <c r="G6" s="17"/>
      <c r="H6" s="17"/>
      <c r="I6" s="17"/>
      <c r="J6" s="17"/>
      <c r="K6" s="17"/>
      <c r="L6" s="1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51">
        <f>DATE(2000,3,31)</f>
        <v>36616</v>
      </c>
      <c r="B7" s="17" t="s">
        <v>123</v>
      </c>
      <c r="C7" s="17"/>
      <c r="D7" s="17">
        <v>30.0</v>
      </c>
      <c r="E7" s="17"/>
      <c r="F7" s="17"/>
      <c r="G7" s="17"/>
      <c r="H7" s="17"/>
      <c r="I7" s="17"/>
      <c r="J7" s="17"/>
      <c r="K7" s="17"/>
      <c r="L7" s="1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51">
        <f>DATE(2000,1,10)</f>
        <v>36535</v>
      </c>
      <c r="B8" s="17" t="s">
        <v>124</v>
      </c>
      <c r="C8" s="17"/>
      <c r="D8" s="17">
        <v>125.0</v>
      </c>
      <c r="E8" s="17"/>
      <c r="F8" s="17"/>
      <c r="G8" s="17"/>
      <c r="H8" s="17"/>
      <c r="I8" s="17"/>
      <c r="J8" s="17"/>
      <c r="K8" s="17"/>
      <c r="L8" s="1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51">
        <f>DATE(2000,3,2)</f>
        <v>36587</v>
      </c>
      <c r="B9" s="17" t="s">
        <v>125</v>
      </c>
      <c r="C9" s="17"/>
      <c r="D9" s="17">
        <v>97.0</v>
      </c>
      <c r="E9" s="17"/>
      <c r="F9" s="17"/>
      <c r="G9" s="17"/>
      <c r="H9" s="17"/>
      <c r="I9" s="17"/>
      <c r="J9" s="17"/>
      <c r="K9" s="17"/>
      <c r="L9" s="1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51">
        <f>DATE(2000,2,10)</f>
        <v>36566</v>
      </c>
      <c r="B10" s="17" t="s">
        <v>126</v>
      </c>
      <c r="C10" s="17"/>
      <c r="D10" s="17">
        <v>57.0</v>
      </c>
      <c r="E10" s="17"/>
      <c r="F10" s="17"/>
      <c r="G10" s="17"/>
      <c r="H10" s="17"/>
      <c r="I10" s="17"/>
      <c r="J10" s="17"/>
      <c r="K10" s="17"/>
      <c r="L10" s="1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51">
        <f>DATE(2000,3,15)</f>
        <v>36600</v>
      </c>
      <c r="B11" s="17" t="s">
        <v>127</v>
      </c>
      <c r="C11" s="17"/>
      <c r="D11" s="17">
        <v>65.0</v>
      </c>
      <c r="E11" s="17"/>
      <c r="F11" s="17"/>
      <c r="G11" s="17"/>
      <c r="H11" s="17"/>
      <c r="I11" s="17"/>
      <c r="J11" s="17"/>
      <c r="K11" s="17"/>
      <c r="L11" s="1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51">
        <f>DATE(2000,2,20)</f>
        <v>36576</v>
      </c>
      <c r="B12" s="17" t="s">
        <v>128</v>
      </c>
      <c r="C12" s="17"/>
      <c r="D12" s="17">
        <v>88.0</v>
      </c>
      <c r="E12" s="17"/>
      <c r="F12" s="17"/>
      <c r="G12" s="17"/>
      <c r="H12" s="17"/>
      <c r="I12" s="17"/>
      <c r="J12" s="17"/>
      <c r="K12" s="17"/>
      <c r="L12" s="1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25" t="s">
        <v>129</v>
      </c>
      <c r="F14" s="1"/>
      <c r="G14" s="1"/>
      <c r="H14" s="1"/>
      <c r="I14" s="1"/>
      <c r="J14" s="29" t="s">
        <v>130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52" t="s">
        <v>131</v>
      </c>
      <c r="C15" s="52" t="s">
        <v>132</v>
      </c>
      <c r="D15" s="52" t="s">
        <v>133</v>
      </c>
      <c r="E15" s="52" t="s">
        <v>134</v>
      </c>
      <c r="F15" s="1"/>
      <c r="G15" s="1"/>
      <c r="H15" s="1"/>
      <c r="I15" s="1"/>
      <c r="J15" s="52" t="s">
        <v>135</v>
      </c>
      <c r="K15" s="52" t="s">
        <v>136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7" t="s">
        <v>137</v>
      </c>
      <c r="C16" s="17" t="s">
        <v>138</v>
      </c>
      <c r="D16" s="17">
        <v>2000.0</v>
      </c>
      <c r="E16" s="17">
        <v>2300.0</v>
      </c>
      <c r="F16" s="1"/>
      <c r="G16" s="1"/>
      <c r="H16" s="1"/>
      <c r="I16" s="1"/>
      <c r="J16" s="17" t="s">
        <v>98</v>
      </c>
      <c r="K16" s="53">
        <v>0.02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7" t="s">
        <v>139</v>
      </c>
      <c r="C17" s="17" t="s">
        <v>140</v>
      </c>
      <c r="D17" s="17">
        <v>2400.0</v>
      </c>
      <c r="E17" s="17">
        <v>2700.0</v>
      </c>
      <c r="F17" s="1"/>
      <c r="G17" s="1"/>
      <c r="H17" s="1"/>
      <c r="I17" s="1"/>
      <c r="J17" s="17" t="s">
        <v>99</v>
      </c>
      <c r="K17" s="53">
        <v>0.0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7" t="s">
        <v>141</v>
      </c>
      <c r="C18" s="17" t="s">
        <v>142</v>
      </c>
      <c r="D18" s="17">
        <v>2200.0</v>
      </c>
      <c r="E18" s="17">
        <v>2500.0</v>
      </c>
      <c r="F18" s="1"/>
      <c r="G18" s="1"/>
      <c r="H18" s="1"/>
      <c r="I18" s="1"/>
      <c r="J18" s="17" t="s">
        <v>100</v>
      </c>
      <c r="K18" s="53">
        <v>0.01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7" t="s">
        <v>143</v>
      </c>
      <c r="C19" s="17" t="s">
        <v>144</v>
      </c>
      <c r="D19" s="17">
        <v>2600.0</v>
      </c>
      <c r="E19" s="17">
        <v>3000.0</v>
      </c>
      <c r="F19" s="1"/>
      <c r="G19" s="1"/>
      <c r="H19" s="1"/>
      <c r="I19" s="1"/>
      <c r="J19" s="17" t="s">
        <v>145</v>
      </c>
      <c r="K19" s="53">
        <v>0.03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7" t="s">
        <v>146</v>
      </c>
      <c r="C20" s="17" t="s">
        <v>147</v>
      </c>
      <c r="D20" s="17">
        <v>2300.0</v>
      </c>
      <c r="E20" s="17">
        <v>25000.0</v>
      </c>
      <c r="F20" s="1"/>
      <c r="G20" s="1"/>
      <c r="H20" s="1"/>
      <c r="I20" s="1"/>
      <c r="J20" s="17" t="s">
        <v>148</v>
      </c>
      <c r="K20" s="53">
        <v>2.5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1:L1"/>
    <mergeCell ref="B14:E1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2019-11-25T16:29:19Z</dcterms:created>
  <dc:creator>Đỗ Bảo Nam Blog</dc:creator>
</cp:coreProperties>
</file>