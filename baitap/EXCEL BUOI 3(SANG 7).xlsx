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cao_dang\thuchanh\excel\"/>
    </mc:Choice>
  </mc:AlternateContent>
  <xr:revisionPtr revIDLastSave="0" documentId="13_ncr:1_{1626B4FF-3087-4347-9053-BE9A385B74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I 1" sheetId="12" r:id="rId1"/>
    <sheet name="BAI 2" sheetId="10" r:id="rId2"/>
    <sheet name="BAI 3" sheetId="11" r:id="rId3"/>
    <sheet name="BAI 4" sheetId="13" r:id="rId4"/>
    <sheet name="BAI 5" sheetId="15" r:id="rId5"/>
  </sheets>
  <definedNames>
    <definedName name="ĐƠN_GIÁ">#REF!</definedName>
    <definedName name="NCC">#REF!</definedName>
    <definedName name="NGƯỜI_BÁN">#REF!</definedName>
    <definedName name="SL">#REF!</definedName>
    <definedName name="STT">#REF!</definedName>
    <definedName name="TÊN_MẶT_HÀNG">#REF!</definedName>
    <definedName name="TỔNG_TIỀ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5" l="1"/>
  <c r="A11" i="15"/>
  <c r="A10" i="15"/>
  <c r="A9" i="15"/>
  <c r="A8" i="15"/>
  <c r="A7" i="15"/>
  <c r="A6" i="15"/>
  <c r="A5" i="15"/>
  <c r="A4" i="15"/>
  <c r="A3" i="15"/>
</calcChain>
</file>

<file path=xl/sharedStrings.xml><?xml version="1.0" encoding="utf-8"?>
<sst xmlns="http://schemas.openxmlformats.org/spreadsheetml/2006/main" count="156" uniqueCount="152">
  <si>
    <t>THUẾ</t>
  </si>
  <si>
    <t>BẢNG THEO DÕI NHẬP XUẤT HÀNG</t>
  </si>
  <si>
    <t>MÃ
HÀNG</t>
  </si>
  <si>
    <t>A001Y</t>
  </si>
  <si>
    <t>B012N</t>
  </si>
  <si>
    <t>B003Y</t>
  </si>
  <si>
    <t>A011N</t>
  </si>
  <si>
    <t>B054Y</t>
  </si>
  <si>
    <t>NHẬP</t>
  </si>
  <si>
    <t>XUẤT</t>
  </si>
  <si>
    <t>ĐƠN GIÁ</t>
  </si>
  <si>
    <t>TIỀN</t>
  </si>
  <si>
    <t>TỔNG</t>
  </si>
  <si>
    <t>A003Y</t>
  </si>
  <si>
    <t>B015N</t>
  </si>
  <si>
    <t>THỰC HÀNH TÍNH BẢNG LƯƠNG</t>
  </si>
  <si>
    <t>01AGD</t>
  </si>
  <si>
    <t>02CHC</t>
  </si>
  <si>
    <t>03BGD</t>
  </si>
  <si>
    <t>04DHC</t>
  </si>
  <si>
    <t>05DKH</t>
  </si>
  <si>
    <t>06CKH</t>
  </si>
  <si>
    <t>07DHC</t>
  </si>
  <si>
    <t>08DHC</t>
  </si>
  <si>
    <t>09DKH</t>
  </si>
  <si>
    <t>10DHC</t>
  </si>
  <si>
    <t>11DHC</t>
  </si>
  <si>
    <t>TÊN</t>
  </si>
  <si>
    <t>Xuân</t>
  </si>
  <si>
    <t>Hạ</t>
  </si>
  <si>
    <t>Thu</t>
  </si>
  <si>
    <t>Đông</t>
  </si>
  <si>
    <t>Bắc</t>
  </si>
  <si>
    <t>Trung</t>
  </si>
  <si>
    <t>Nam</t>
  </si>
  <si>
    <t>Công</t>
  </si>
  <si>
    <t>Chính</t>
  </si>
  <si>
    <t>Liêm</t>
  </si>
  <si>
    <t>Minh</t>
  </si>
  <si>
    <t>CHỨC VỤ</t>
  </si>
  <si>
    <t>PHÒNG BAN</t>
  </si>
  <si>
    <t>LƯƠNG CB</t>
  </si>
  <si>
    <t>HỆ SỐ</t>
  </si>
  <si>
    <t>LƯƠNG CHÍNH</t>
  </si>
  <si>
    <t>PHỤ CẤP CHỨC VỤ</t>
  </si>
  <si>
    <t>THỰC LÃNH</t>
  </si>
  <si>
    <t>Tổng nhân sự Ban GĐ</t>
  </si>
  <si>
    <t>Tổng  nhân  sự Phòng HC</t>
  </si>
  <si>
    <t>Tổng nhân sự Phòng KH</t>
  </si>
  <si>
    <t>Tổng nhân sự toàn Công ty</t>
  </si>
  <si>
    <t>Thực lãnh cao nhất</t>
  </si>
  <si>
    <t>Thực lãnh thấp nhất</t>
  </si>
  <si>
    <t>Thực lãnh bình quân</t>
  </si>
  <si>
    <t>Tổng thực lãnh ban GĐ</t>
  </si>
  <si>
    <t>Tổng thực lãnh Phòng HC</t>
  </si>
  <si>
    <t>Tổng thực lãnh phòng KH</t>
  </si>
  <si>
    <t>MSNV</t>
  </si>
  <si>
    <t>DANH SÁCH THI TUYỂN</t>
  </si>
  <si>
    <t>STT</t>
  </si>
  <si>
    <t>TÊN THÍ SINH</t>
  </si>
  <si>
    <t>NHẬP ĐIỂM</t>
  </si>
  <si>
    <t>LÝ
THUYẾT</t>
  </si>
  <si>
    <t>THỰC
HÀNH</t>
  </si>
  <si>
    <t>ĐTB</t>
  </si>
  <si>
    <t>XẾP
LOẠI</t>
  </si>
  <si>
    <t>LT</t>
  </si>
  <si>
    <t>TH</t>
  </si>
  <si>
    <t>Đỗ Bảo Nam Blog</t>
  </si>
  <si>
    <t>Nguyễn Quỳnh Anh</t>
  </si>
  <si>
    <t>Nguyễn Đức Cảnh</t>
  </si>
  <si>
    <t>Đinh Thanh Hải</t>
  </si>
  <si>
    <t>Nguyễn Thị Nhung</t>
  </si>
  <si>
    <t>BẢNG XẾP LOẠI</t>
  </si>
  <si>
    <t>Điểm</t>
  </si>
  <si>
    <t>Xếp loại</t>
  </si>
  <si>
    <t>Rớt</t>
  </si>
  <si>
    <t>Trung bình</t>
  </si>
  <si>
    <t>Khá</t>
  </si>
  <si>
    <t>Giỏi</t>
  </si>
  <si>
    <t>BẢNG KẾT QUẢ TUYỂN SINH</t>
  </si>
  <si>
    <t>SỐ TT</t>
  </si>
  <si>
    <t>HỌ VÀ TÊN</t>
  </si>
  <si>
    <t>MÃ SỐ NGÀNH-
ƯU TIÊN</t>
  </si>
  <si>
    <t>TÊN
NGÀNH</t>
  </si>
  <si>
    <t>TOÁN</t>
  </si>
  <si>
    <t>LÝ</t>
  </si>
  <si>
    <t>CỘNG
ĐIỂM</t>
  </si>
  <si>
    <t>ĐIỂM
ƯU TIÊN</t>
  </si>
  <si>
    <t>TỔNG
CỘNG</t>
  </si>
  <si>
    <t>KẾT
QUẢ</t>
  </si>
  <si>
    <t>Đỗ Bảo Nam</t>
  </si>
  <si>
    <t>A1</t>
  </si>
  <si>
    <t>Trần Thị Vy</t>
  </si>
  <si>
    <t>B3</t>
  </si>
  <si>
    <t>Hồ Thị Ly</t>
  </si>
  <si>
    <t>C2</t>
  </si>
  <si>
    <t>Lý Thị Vân</t>
  </si>
  <si>
    <t>C4</t>
  </si>
  <si>
    <t>ĐIỂM ƯU TIÊN</t>
  </si>
  <si>
    <t>NGÀNH
HỌC</t>
  </si>
  <si>
    <t>Mã ngành</t>
  </si>
  <si>
    <t>A</t>
  </si>
  <si>
    <t>B</t>
  </si>
  <si>
    <t>C</t>
  </si>
  <si>
    <t>Mã
ưu tiên</t>
  </si>
  <si>
    <t>Tên ngành</t>
  </si>
  <si>
    <t>Tin học</t>
  </si>
  <si>
    <t>Lý</t>
  </si>
  <si>
    <t>Hóa</t>
  </si>
  <si>
    <t>BÁO CÁO DOANH THU QUÝ 1/2009</t>
  </si>
  <si>
    <t>Ngày xuất</t>
  </si>
  <si>
    <t>Mã HĐ</t>
  </si>
  <si>
    <t>YC01A</t>
  </si>
  <si>
    <t>YV02C</t>
  </si>
  <si>
    <t>YS03D</t>
  </si>
  <si>
    <t>YD04E</t>
  </si>
  <si>
    <t>YT05E</t>
  </si>
  <si>
    <t>YD06A</t>
  </si>
  <si>
    <t>YC07C</t>
  </si>
  <si>
    <t>YC08B</t>
  </si>
  <si>
    <t>YT09D</t>
  </si>
  <si>
    <t>YS01B</t>
  </si>
  <si>
    <t>Tên Hàng</t>
  </si>
  <si>
    <t>Tổng số hộp</t>
  </si>
  <si>
    <t>Số thùng</t>
  </si>
  <si>
    <t>Số hộp lẻ</t>
  </si>
  <si>
    <t>Thành tiền</t>
  </si>
  <si>
    <t>Vận chuyển</t>
  </si>
  <si>
    <t>Tổng cộng</t>
  </si>
  <si>
    <t>Phí vận chuyển %</t>
  </si>
  <si>
    <t>Bảng đơn giá</t>
  </si>
  <si>
    <t>Mã hàng</t>
  </si>
  <si>
    <t>YS</t>
  </si>
  <si>
    <t>YD</t>
  </si>
  <si>
    <t>YC</t>
  </si>
  <si>
    <t>YV</t>
  </si>
  <si>
    <t>YT</t>
  </si>
  <si>
    <t>Tên hàng</t>
  </si>
  <si>
    <t>Sữa chua nguyên chất</t>
  </si>
  <si>
    <t>Sữa chua dâu</t>
  </si>
  <si>
    <t>Sữa chua Chanh</t>
  </si>
  <si>
    <t>Sữa chua vãi</t>
  </si>
  <si>
    <t>Sữa chua dừa</t>
  </si>
  <si>
    <t>Đgiá sĩ</t>
  </si>
  <si>
    <t>Đgiá lẻ</t>
  </si>
  <si>
    <t>Bảng phí chuyên chở</t>
  </si>
  <si>
    <t>Khu vực</t>
  </si>
  <si>
    <t>D</t>
  </si>
  <si>
    <t>E</t>
  </si>
  <si>
    <t>Phí chở</t>
  </si>
  <si>
    <t>Đơn giá sĩ</t>
  </si>
  <si>
    <t>Đơn giá lẻ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</si>
</sst>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1" applyNumberFormat="1" applyFont="1" applyFill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165" fontId="4" fillId="0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7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5" fontId="7" fillId="0" borderId="1" xfId="1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165" fontId="4" fillId="0" borderId="0" xfId="1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7" fillId="0" borderId="0" xfId="1" applyNumberFormat="1" applyFont="1" applyBorder="1" applyAlignment="1">
      <alignment horizontal="right"/>
    </xf>
    <xf numFmtId="165" fontId="7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/>
    <xf numFmtId="9" fontId="3" fillId="0" borderId="1" xfId="0" applyNumberFormat="1" applyFont="1" applyBorder="1"/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87B52"/>
      <color rgb="FF0043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88900</xdr:colOff>
      <xdr:row>3</xdr:row>
      <xdr:rowOff>0</xdr:rowOff>
    </xdr:from>
    <xdr:to>
      <xdr:col>15</xdr:col>
      <xdr:colOff>501650</xdr:colOff>
      <xdr:row>21</xdr:row>
      <xdr:rowOff>76200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51F0BFB9-630A-994D-B148-90D4BC28D5D7}"/>
            </a:ext>
          </a:extLst>
        </xdr:cNvPr>
        <xdr:cNvSpPr txBox="1"/>
      </xdr:nvSpPr>
      <xdr:spPr>
        <a:xfrm>
          <a:off x="5842000" y="590550"/>
          <a:ext cx="5899150" cy="3683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1" u="sng">
              <a:latin typeface="Times New Roman" panose="02020603050405020304" pitchFamily="18" charset="0"/>
              <a:cs typeface="Times New Roman" panose="02020603050405020304" pitchFamily="18" charset="0"/>
            </a:rPr>
            <a:t>YÊU CẦU CỦA BÀI TẬP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Nhập và định dạng dữ liệu như bảng tính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1) - Tính cột Xuất như sau: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A thì Xuất = 60% * Nhập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B thì Xuất = 70% * Nhập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2) - Tính cột Đơn giá như sau: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cuối là Y thì Đơn giá = 110000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cuối là N thì Đơn giá = 135000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3) - Tính cột Tiền = Xuất * Đơn giá.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4) - Tính cột Thuế như sau: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A và ký tự cuối là Y thì Thuế = 8% của Tiền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A và ký tự cuối là N thì Thuế = 11% của Tiền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B và ký tự cuối là Y thì Thuế = 17% của Tiền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B và ký tự cuối là N thì Thuế = 22% của Tiền.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3</xdr:row>
      <xdr:rowOff>0</xdr:rowOff>
    </xdr:from>
    <xdr:to>
      <xdr:col>16</xdr:col>
      <xdr:colOff>82550</xdr:colOff>
      <xdr:row>19</xdr:row>
      <xdr:rowOff>63500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0E09928-5133-8519-4532-2B620BCA279B}"/>
            </a:ext>
          </a:extLst>
        </xdr:cNvPr>
        <xdr:cNvSpPr/>
      </xdr:nvSpPr>
      <xdr:spPr>
        <a:xfrm>
          <a:off x="6692900" y="787400"/>
          <a:ext cx="4972050" cy="2908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Ý NGHĨA MSNV:</a:t>
          </a:r>
        </a:p>
        <a:p>
          <a:pPr algn="l"/>
          <a:r>
            <a:rPr lang="en-US" sz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 Ký tự đầu: Số TT 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Ký tự thứ 3: Mã số chức vụ ( A: Giám đốc, B: Phó GĐ, C: Trưởng Phòng, D: Nhân viên)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 b="1" u="sng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YÊU</a:t>
          </a:r>
          <a:r>
            <a:rPr lang="en-US" sz="1200" b="1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CẦU:</a:t>
          </a:r>
          <a:endParaRPr lang="en-US" sz="1200" b="1" u="sng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1. Tính cột chức vụ và phòng ban 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2. Tính cột Lương CB, biết rằng Lương CB của: Giám đốc = 500000, Phó GĐ = 450000, Trưởng phòng = 400000, Nhân viên = 300000 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3. Tính lương chính, biết rằng Lương chính = Lương CB * Hệ số 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4. Tính phụ cấp chức vụ ( PCCV). Biết rằng PCCV của: Giám đốc là 200000, Phó GĐ là 150000, Trưởng phòng là 100000, Nhân viên không có phụ cấp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5. Tính cột Thực lãnh, biết rằng Thực lãnh = Lương Chính + PCCV 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6. Tính các ô tổng hợp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279400</xdr:colOff>
      <xdr:row>2</xdr:row>
      <xdr:rowOff>158750</xdr:rowOff>
    </xdr:from>
    <xdr:to>
      <xdr:col>16</xdr:col>
      <xdr:colOff>520700</xdr:colOff>
      <xdr:row>15</xdr:row>
      <xdr:rowOff>196850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EB81F1C-6FE8-E941-D8B0-7D86CC1352EF}"/>
            </a:ext>
          </a:extLst>
        </xdr:cNvPr>
        <xdr:cNvSpPr/>
      </xdr:nvSpPr>
      <xdr:spPr>
        <a:xfrm>
          <a:off x="6438900" y="558800"/>
          <a:ext cx="5118100" cy="27432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400" b="1" u="sng">
              <a:solidFill>
                <a:sysClr val="windowText" lastClr="000000"/>
              </a:solidFill>
              <a:latin typeface="+mj-lt"/>
            </a:rPr>
            <a:t>YÊU CẦU CỦA BÀI TẬP: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1) - Nhập và định dạng dữ liệu như bảng tính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2) - Tính điểm LÝ THUYẾT như sau: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    LÝ THUYẾT = LT/10 nếu LT&gt;10, ngược lại LÝ THUYẾT = LT.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3) - Tính điểm THỰC HÀNH như sau: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    THỰC HÀNH = TH/10 nếu TH&gt;10, ngược lại THỰC HÀNH = TH.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3) - Tính ĐTB = (LÝ THUYẾT + THỰC HÀNH)/2.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4) - Xếp loại cho thí sinh dựa vào BẢNG XẾP LOẠI.</a:t>
          </a:r>
          <a:endParaRPr lang="en-US" sz="1400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374650</xdr:colOff>
      <xdr:row>8</xdr:row>
      <xdr:rowOff>133350</xdr:rowOff>
    </xdr:from>
    <xdr:to>
      <xdr:col>16</xdr:col>
      <xdr:colOff>431800</xdr:colOff>
      <xdr:row>23</xdr:row>
      <xdr:rowOff>63500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7544BD9-F7AF-DD99-93CE-7B6961F33AF1}"/>
            </a:ext>
          </a:extLst>
        </xdr:cNvPr>
        <xdr:cNvSpPr/>
      </xdr:nvSpPr>
      <xdr:spPr>
        <a:xfrm>
          <a:off x="6464300" y="2203450"/>
          <a:ext cx="5111750" cy="29273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400" b="1" u="sng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YÊU CẦU CỦA BÀI TẬP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1) - Nhập và định dạng dữ liệu như bảng tính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2) - TÊN NGÀNH: Căn cứ vào ký tự đầu của MÃ SỐ NGÀNH-ƯU TIÊN,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tra cứu trong bảng NGÀNH HỌC.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3) - CỘNG ĐIỂM = (TOÁN*2 + LÝ)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4) - ĐIỂM ƯU TIÊN: Căn cứ vào ký tự cuối của MÃ SỐ NGÀNH-ƯU TIÊN,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tra trong bảng ĐIỂM ƯU TIÊN.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5) - TỔNG CỘNG = CỘNG ĐIỂM + ĐIỂM ƯU TIÊN.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6) - KẾT QUẢ: Nếu TỔNG CỘNG &gt; 18 thì ghi Đậu, ngược lại ghi Rớt.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22</xdr:row>
      <xdr:rowOff>88900</xdr:rowOff>
    </xdr:from>
    <xdr:to>
      <xdr:col>8</xdr:col>
      <xdr:colOff>88900</xdr:colOff>
      <xdr:row>34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04AA44-A81C-6640-CEDC-51B7D0BC197C}"/>
            </a:ext>
          </a:extLst>
        </xdr:cNvPr>
        <xdr:cNvSpPr/>
      </xdr:nvSpPr>
      <xdr:spPr>
        <a:xfrm>
          <a:off x="952500" y="4178300"/>
          <a:ext cx="5086350" cy="21209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400" b="1" u="sng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Yêu cầu: </a:t>
          </a:r>
          <a:endParaRPr lang="en-US" sz="1400" b="1" u="sng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1. Dựa vào Bảng đơn giá và bảng phí vận chuyển. Lập công thức điền vào Tên hàng; đơn giá sỉ; đơn giá lẻ; phí vận chuyển 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2. Tính số thùng, số hộp lẻ. Biết rằng 1 thùng có 24 hộp 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3. Thành tiền = đơn giá sỉ * số thùng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*24</a:t>
          </a:r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+ đơn giá lẻ * số hộp lẻ 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4. Vận chuyển = phí vận chuyển * thành tiền, nếu số thùng&gt;=10 thì vận chuyển giảm giảm 10%, ngược lại không giảm 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5. Tổng cộng = thành tiền + vận chuyển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72B2-930C-4DB0-B0DD-4DEA6F34C583}">
  <dimension ref="A3:F12"/>
  <sheetViews>
    <sheetView tabSelected="1" workbookViewId="0">
      <selection activeCell="J8" sqref="J8"/>
    </sheetView>
  </sheetViews>
  <sheetFormatPr defaultRowHeight="14.5" x14ac:dyDescent="0.35"/>
  <cols>
    <col min="1" max="1" width="14.26953125" customWidth="1"/>
    <col min="2" max="2" width="14.54296875" customWidth="1"/>
    <col min="3" max="3" width="13.6328125" customWidth="1"/>
    <col min="4" max="4" width="15.6328125" customWidth="1"/>
    <col min="5" max="5" width="11.54296875" customWidth="1"/>
    <col min="6" max="6" width="12.7265625" customWidth="1"/>
  </cols>
  <sheetData>
    <row r="3" spans="1:6" ht="17.5" x14ac:dyDescent="0.35">
      <c r="A3" s="42" t="s">
        <v>1</v>
      </c>
      <c r="B3" s="42"/>
      <c r="C3" s="42"/>
      <c r="D3" s="42"/>
      <c r="E3" s="42"/>
      <c r="F3" s="42"/>
    </row>
    <row r="4" spans="1:6" ht="30" x14ac:dyDescent="0.35">
      <c r="A4" s="6" t="s">
        <v>2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0</v>
      </c>
    </row>
    <row r="5" spans="1:6" ht="15.5" x14ac:dyDescent="0.35">
      <c r="A5" s="7" t="s">
        <v>3</v>
      </c>
      <c r="B5" s="8">
        <v>1000</v>
      </c>
      <c r="C5" s="9"/>
      <c r="D5" s="10"/>
      <c r="E5" s="10"/>
      <c r="F5" s="11"/>
    </row>
    <row r="6" spans="1:6" ht="15.5" x14ac:dyDescent="0.35">
      <c r="A6" s="7" t="s">
        <v>4</v>
      </c>
      <c r="B6" s="8">
        <v>2500</v>
      </c>
      <c r="C6" s="9"/>
      <c r="D6" s="10"/>
      <c r="E6" s="10"/>
      <c r="F6" s="11"/>
    </row>
    <row r="7" spans="1:6" ht="15.5" x14ac:dyDescent="0.35">
      <c r="A7" s="7" t="s">
        <v>5</v>
      </c>
      <c r="B7" s="8">
        <v>4582</v>
      </c>
      <c r="C7" s="9"/>
      <c r="D7" s="10"/>
      <c r="E7" s="10"/>
      <c r="F7" s="11"/>
    </row>
    <row r="8" spans="1:6" ht="15.5" x14ac:dyDescent="0.35">
      <c r="A8" s="12" t="s">
        <v>6</v>
      </c>
      <c r="B8" s="13">
        <v>1400</v>
      </c>
      <c r="C8" s="9"/>
      <c r="D8" s="10"/>
      <c r="E8" s="10"/>
      <c r="F8" s="11"/>
    </row>
    <row r="9" spans="1:6" ht="15.5" x14ac:dyDescent="0.35">
      <c r="A9" s="12" t="s">
        <v>7</v>
      </c>
      <c r="B9" s="13">
        <v>1650</v>
      </c>
      <c r="C9" s="9"/>
      <c r="D9" s="10"/>
      <c r="E9" s="10"/>
      <c r="F9" s="11"/>
    </row>
    <row r="10" spans="1:6" ht="15.5" x14ac:dyDescent="0.35">
      <c r="A10" s="13" t="s">
        <v>13</v>
      </c>
      <c r="B10" s="13">
        <v>1200</v>
      </c>
      <c r="C10" s="9"/>
      <c r="D10" s="10"/>
      <c r="E10" s="10"/>
      <c r="F10" s="11"/>
    </row>
    <row r="11" spans="1:6" ht="15.5" x14ac:dyDescent="0.35">
      <c r="A11" s="13" t="s">
        <v>14</v>
      </c>
      <c r="B11" s="13">
        <v>1100</v>
      </c>
      <c r="C11" s="9"/>
      <c r="D11" s="10"/>
      <c r="E11" s="10"/>
      <c r="F11" s="11"/>
    </row>
    <row r="12" spans="1:6" ht="15" x14ac:dyDescent="0.35">
      <c r="A12" s="43" t="s">
        <v>12</v>
      </c>
      <c r="B12" s="44"/>
      <c r="C12" s="44"/>
      <c r="D12" s="45"/>
      <c r="E12" s="14"/>
      <c r="F12" s="14"/>
    </row>
  </sheetData>
  <mergeCells count="2">
    <mergeCell ref="A3:F3"/>
    <mergeCell ref="A12:D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9F26-FFF2-4DC5-AF11-7D230613EA7D}">
  <dimension ref="A1:I20"/>
  <sheetViews>
    <sheetView workbookViewId="0">
      <selection activeCell="A3" sqref="A3"/>
    </sheetView>
  </sheetViews>
  <sheetFormatPr defaultColWidth="10.36328125" defaultRowHeight="14" x14ac:dyDescent="0.3"/>
  <cols>
    <col min="1" max="16384" width="10.36328125" style="1"/>
  </cols>
  <sheetData>
    <row r="1" spans="1:9" ht="20" x14ac:dyDescent="0.4">
      <c r="A1" s="47" t="s">
        <v>15</v>
      </c>
      <c r="B1" s="47"/>
      <c r="C1" s="47"/>
      <c r="D1" s="47"/>
      <c r="E1" s="47"/>
      <c r="F1" s="47"/>
      <c r="G1" s="47"/>
      <c r="H1" s="47"/>
      <c r="I1" s="47"/>
    </row>
    <row r="3" spans="1:9" ht="28" x14ac:dyDescent="0.3">
      <c r="A3" s="2" t="s">
        <v>56</v>
      </c>
      <c r="B3" s="2" t="s">
        <v>27</v>
      </c>
      <c r="C3" s="2" t="s">
        <v>39</v>
      </c>
      <c r="D3" s="3" t="s">
        <v>40</v>
      </c>
      <c r="E3" s="3" t="s">
        <v>41</v>
      </c>
      <c r="F3" s="2" t="s">
        <v>42</v>
      </c>
      <c r="G3" s="3" t="s">
        <v>43</v>
      </c>
      <c r="H3" s="3" t="s">
        <v>44</v>
      </c>
      <c r="I3" s="3" t="s">
        <v>45</v>
      </c>
    </row>
    <row r="4" spans="1:9" x14ac:dyDescent="0.3">
      <c r="A4" s="4" t="s">
        <v>16</v>
      </c>
      <c r="B4" s="4" t="s">
        <v>28</v>
      </c>
      <c r="C4" s="4"/>
      <c r="D4" s="5"/>
      <c r="E4" s="4"/>
      <c r="F4" s="4">
        <v>5.2</v>
      </c>
      <c r="G4" s="4"/>
      <c r="H4" s="4"/>
      <c r="I4" s="4"/>
    </row>
    <row r="5" spans="1:9" x14ac:dyDescent="0.3">
      <c r="A5" s="4" t="s">
        <v>17</v>
      </c>
      <c r="B5" s="4" t="s">
        <v>29</v>
      </c>
      <c r="C5" s="4"/>
      <c r="D5" s="4"/>
      <c r="E5" s="4"/>
      <c r="F5" s="4">
        <v>4.5</v>
      </c>
      <c r="G5" s="4"/>
      <c r="H5" s="4"/>
      <c r="I5" s="4"/>
    </row>
    <row r="6" spans="1:9" x14ac:dyDescent="0.3">
      <c r="A6" s="4" t="s">
        <v>18</v>
      </c>
      <c r="B6" s="4" t="s">
        <v>30</v>
      </c>
      <c r="C6" s="4"/>
      <c r="D6" s="4"/>
      <c r="E6" s="4"/>
      <c r="F6" s="4">
        <v>4.8</v>
      </c>
      <c r="G6" s="4"/>
      <c r="H6" s="4"/>
      <c r="I6" s="4"/>
    </row>
    <row r="7" spans="1:9" x14ac:dyDescent="0.3">
      <c r="A7" s="4" t="s">
        <v>19</v>
      </c>
      <c r="B7" s="4" t="s">
        <v>31</v>
      </c>
      <c r="C7" s="4"/>
      <c r="D7" s="4"/>
      <c r="E7" s="4"/>
      <c r="F7" s="4">
        <v>3.5</v>
      </c>
      <c r="G7" s="4"/>
      <c r="H7" s="4"/>
      <c r="I7" s="4"/>
    </row>
    <row r="8" spans="1:9" x14ac:dyDescent="0.3">
      <c r="A8" s="4" t="s">
        <v>20</v>
      </c>
      <c r="B8" s="4" t="s">
        <v>32</v>
      </c>
      <c r="C8" s="4"/>
      <c r="D8" s="4"/>
      <c r="E8" s="4"/>
      <c r="F8" s="4">
        <v>2.9</v>
      </c>
      <c r="G8" s="4"/>
      <c r="H8" s="4"/>
      <c r="I8" s="4"/>
    </row>
    <row r="9" spans="1:9" x14ac:dyDescent="0.3">
      <c r="A9" s="4" t="s">
        <v>21</v>
      </c>
      <c r="B9" s="4" t="s">
        <v>33</v>
      </c>
      <c r="C9" s="4"/>
      <c r="D9" s="4"/>
      <c r="E9" s="4"/>
      <c r="F9" s="4">
        <v>4.5999999999999996</v>
      </c>
      <c r="G9" s="4"/>
      <c r="H9" s="4"/>
      <c r="I9" s="4"/>
    </row>
    <row r="10" spans="1:9" x14ac:dyDescent="0.3">
      <c r="A10" s="4" t="s">
        <v>22</v>
      </c>
      <c r="B10" s="4" t="s">
        <v>34</v>
      </c>
      <c r="C10" s="4"/>
      <c r="D10" s="4"/>
      <c r="E10" s="4"/>
      <c r="F10" s="4">
        <v>3.4</v>
      </c>
      <c r="G10" s="4"/>
      <c r="H10" s="4"/>
      <c r="I10" s="4"/>
    </row>
    <row r="11" spans="1:9" x14ac:dyDescent="0.3">
      <c r="A11" s="4" t="s">
        <v>23</v>
      </c>
      <c r="B11" s="4" t="s">
        <v>35</v>
      </c>
      <c r="C11" s="4"/>
      <c r="D11" s="4"/>
      <c r="E11" s="4"/>
      <c r="F11" s="4">
        <v>2.5</v>
      </c>
      <c r="G11" s="4"/>
      <c r="H11" s="4"/>
      <c r="I11" s="4"/>
    </row>
    <row r="12" spans="1:9" x14ac:dyDescent="0.3">
      <c r="A12" s="4" t="s">
        <v>24</v>
      </c>
      <c r="B12" s="4" t="s">
        <v>36</v>
      </c>
      <c r="C12" s="4"/>
      <c r="D12" s="4"/>
      <c r="E12" s="4"/>
      <c r="F12" s="4">
        <v>2.4</v>
      </c>
      <c r="G12" s="4"/>
      <c r="H12" s="4"/>
      <c r="I12" s="4"/>
    </row>
    <row r="13" spans="1:9" x14ac:dyDescent="0.3">
      <c r="A13" s="4" t="s">
        <v>25</v>
      </c>
      <c r="B13" s="4" t="s">
        <v>37</v>
      </c>
      <c r="C13" s="4"/>
      <c r="D13" s="4"/>
      <c r="E13" s="4"/>
      <c r="F13" s="4">
        <v>3.7</v>
      </c>
      <c r="G13" s="4"/>
      <c r="H13" s="4"/>
      <c r="I13" s="4"/>
    </row>
    <row r="14" spans="1:9" x14ac:dyDescent="0.3">
      <c r="A14" s="4" t="s">
        <v>26</v>
      </c>
      <c r="B14" s="4" t="s">
        <v>38</v>
      </c>
      <c r="C14" s="4"/>
      <c r="D14" s="4"/>
      <c r="E14" s="4"/>
      <c r="F14" s="4">
        <v>3.1</v>
      </c>
      <c r="G14" s="4"/>
      <c r="H14" s="4"/>
      <c r="I14" s="4"/>
    </row>
    <row r="15" spans="1:9" x14ac:dyDescent="0.3">
      <c r="A15" s="46" t="s">
        <v>46</v>
      </c>
      <c r="B15" s="46"/>
      <c r="C15" s="46"/>
      <c r="D15" s="4"/>
      <c r="F15" s="46" t="s">
        <v>50</v>
      </c>
      <c r="G15" s="46"/>
      <c r="H15" s="46"/>
      <c r="I15" s="4"/>
    </row>
    <row r="16" spans="1:9" x14ac:dyDescent="0.3">
      <c r="A16" s="46" t="s">
        <v>47</v>
      </c>
      <c r="B16" s="46"/>
      <c r="C16" s="46"/>
      <c r="D16" s="4"/>
      <c r="F16" s="46" t="s">
        <v>51</v>
      </c>
      <c r="G16" s="46"/>
      <c r="H16" s="46"/>
      <c r="I16" s="4"/>
    </row>
    <row r="17" spans="1:9" x14ac:dyDescent="0.3">
      <c r="A17" s="46" t="s">
        <v>48</v>
      </c>
      <c r="B17" s="46"/>
      <c r="C17" s="46"/>
      <c r="D17" s="4"/>
      <c r="F17" s="46" t="s">
        <v>52</v>
      </c>
      <c r="G17" s="46"/>
      <c r="H17" s="46"/>
      <c r="I17" s="4"/>
    </row>
    <row r="18" spans="1:9" x14ac:dyDescent="0.3">
      <c r="A18" s="46" t="s">
        <v>49</v>
      </c>
      <c r="B18" s="46"/>
      <c r="C18" s="46"/>
      <c r="D18" s="4"/>
      <c r="F18" s="46" t="s">
        <v>53</v>
      </c>
      <c r="G18" s="46"/>
      <c r="H18" s="46"/>
      <c r="I18" s="4"/>
    </row>
    <row r="19" spans="1:9" x14ac:dyDescent="0.3">
      <c r="F19" s="46" t="s">
        <v>54</v>
      </c>
      <c r="G19" s="46"/>
      <c r="H19" s="46"/>
      <c r="I19" s="4"/>
    </row>
    <row r="20" spans="1:9" x14ac:dyDescent="0.3">
      <c r="F20" s="46" t="s">
        <v>55</v>
      </c>
      <c r="G20" s="46"/>
      <c r="H20" s="46"/>
      <c r="I20" s="4"/>
    </row>
  </sheetData>
  <mergeCells count="11">
    <mergeCell ref="F19:H19"/>
    <mergeCell ref="F20:H20"/>
    <mergeCell ref="A1:I1"/>
    <mergeCell ref="A15:C15"/>
    <mergeCell ref="A16:C16"/>
    <mergeCell ref="A17:C17"/>
    <mergeCell ref="A18:C18"/>
    <mergeCell ref="F15:H15"/>
    <mergeCell ref="F16:H16"/>
    <mergeCell ref="F17:H17"/>
    <mergeCell ref="F18:H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ADB-BF42-4EBB-B7A1-5BAC34A0A8E1}">
  <dimension ref="A2:H16"/>
  <sheetViews>
    <sheetView workbookViewId="0">
      <selection activeCell="E3" sqref="E3:E4"/>
    </sheetView>
  </sheetViews>
  <sheetFormatPr defaultRowHeight="14" x14ac:dyDescent="0.3"/>
  <cols>
    <col min="1" max="1" width="8.7265625" style="1"/>
    <col min="2" max="2" width="25.1796875" style="1" customWidth="1"/>
    <col min="3" max="4" width="8.7265625" style="1"/>
    <col min="5" max="5" width="10.6328125" style="1" customWidth="1"/>
    <col min="6" max="16384" width="8.7265625" style="1"/>
  </cols>
  <sheetData>
    <row r="2" spans="1:8" ht="17.5" x14ac:dyDescent="0.3">
      <c r="A2" s="50" t="s">
        <v>57</v>
      </c>
      <c r="B2" s="50"/>
      <c r="C2" s="50"/>
      <c r="D2" s="50"/>
      <c r="E2" s="50"/>
      <c r="F2" s="50"/>
      <c r="G2" s="50"/>
      <c r="H2" s="50"/>
    </row>
    <row r="3" spans="1:8" ht="15" x14ac:dyDescent="0.3">
      <c r="A3" s="51" t="s">
        <v>58</v>
      </c>
      <c r="B3" s="51" t="s">
        <v>59</v>
      </c>
      <c r="C3" s="52" t="s">
        <v>60</v>
      </c>
      <c r="D3" s="53"/>
      <c r="E3" s="48" t="s">
        <v>61</v>
      </c>
      <c r="F3" s="48" t="s">
        <v>62</v>
      </c>
      <c r="G3" s="51" t="s">
        <v>63</v>
      </c>
      <c r="H3" s="48" t="s">
        <v>64</v>
      </c>
    </row>
    <row r="4" spans="1:8" ht="15" x14ac:dyDescent="0.3">
      <c r="A4" s="51"/>
      <c r="B4" s="51"/>
      <c r="C4" s="16" t="s">
        <v>65</v>
      </c>
      <c r="D4" s="16" t="s">
        <v>66</v>
      </c>
      <c r="E4" s="48"/>
      <c r="F4" s="48"/>
      <c r="G4" s="51"/>
      <c r="H4" s="48"/>
    </row>
    <row r="5" spans="1:8" ht="15.5" x14ac:dyDescent="0.35">
      <c r="A5" s="18">
        <v>1</v>
      </c>
      <c r="B5" s="19" t="s">
        <v>67</v>
      </c>
      <c r="C5" s="19">
        <v>45</v>
      </c>
      <c r="D5" s="19">
        <v>75</v>
      </c>
      <c r="E5" s="20"/>
      <c r="F5" s="20"/>
      <c r="G5" s="20"/>
      <c r="H5" s="21"/>
    </row>
    <row r="6" spans="1:8" ht="15.5" x14ac:dyDescent="0.35">
      <c r="A6" s="18">
        <v>2</v>
      </c>
      <c r="B6" s="19" t="s">
        <v>68</v>
      </c>
      <c r="C6" s="19">
        <v>4</v>
      </c>
      <c r="D6" s="19">
        <v>4.5</v>
      </c>
      <c r="E6" s="20"/>
      <c r="F6" s="20"/>
      <c r="G6" s="20"/>
      <c r="H6" s="21"/>
    </row>
    <row r="7" spans="1:8" ht="15.5" x14ac:dyDescent="0.35">
      <c r="A7" s="18">
        <v>3</v>
      </c>
      <c r="B7" s="19" t="s">
        <v>69</v>
      </c>
      <c r="C7" s="19">
        <v>56</v>
      </c>
      <c r="D7" s="19">
        <v>56</v>
      </c>
      <c r="E7" s="20"/>
      <c r="F7" s="20"/>
      <c r="G7" s="20"/>
      <c r="H7" s="21"/>
    </row>
    <row r="8" spans="1:8" ht="15.5" x14ac:dyDescent="0.35">
      <c r="A8" s="18">
        <v>4</v>
      </c>
      <c r="B8" s="19" t="s">
        <v>70</v>
      </c>
      <c r="C8" s="19">
        <v>7.5</v>
      </c>
      <c r="D8" s="19">
        <v>6.5</v>
      </c>
      <c r="E8" s="20"/>
      <c r="F8" s="20"/>
      <c r="G8" s="20"/>
      <c r="H8" s="21"/>
    </row>
    <row r="9" spans="1:8" ht="15.5" x14ac:dyDescent="0.35">
      <c r="A9" s="18">
        <v>5</v>
      </c>
      <c r="B9" s="19" t="s">
        <v>71</v>
      </c>
      <c r="C9" s="19">
        <v>89</v>
      </c>
      <c r="D9" s="19">
        <v>80</v>
      </c>
      <c r="E9" s="20"/>
      <c r="F9" s="20"/>
      <c r="G9" s="20"/>
      <c r="H9" s="21"/>
    </row>
    <row r="10" spans="1:8" ht="15.5" x14ac:dyDescent="0.35">
      <c r="A10" s="22"/>
      <c r="B10" s="22"/>
      <c r="C10" s="22"/>
      <c r="D10" s="22"/>
      <c r="E10" s="23"/>
      <c r="F10" s="23"/>
      <c r="G10" s="23"/>
      <c r="H10" s="23"/>
    </row>
    <row r="11" spans="1:8" ht="18" x14ac:dyDescent="0.35">
      <c r="A11" s="49" t="s">
        <v>72</v>
      </c>
      <c r="B11" s="49"/>
      <c r="C11" s="25"/>
      <c r="D11" s="25"/>
      <c r="E11" s="15"/>
      <c r="F11" s="26"/>
      <c r="G11" s="26"/>
      <c r="H11" s="26"/>
    </row>
    <row r="12" spans="1:8" ht="18" x14ac:dyDescent="0.35">
      <c r="A12" s="24" t="s">
        <v>73</v>
      </c>
      <c r="B12" s="24" t="s">
        <v>74</v>
      </c>
      <c r="C12" s="25"/>
      <c r="D12" s="25"/>
      <c r="E12" s="15"/>
      <c r="F12" s="26"/>
      <c r="G12" s="26"/>
      <c r="H12" s="26"/>
    </row>
    <row r="13" spans="1:8" ht="18" x14ac:dyDescent="0.35">
      <c r="A13" s="27">
        <v>0</v>
      </c>
      <c r="B13" s="27" t="s">
        <v>75</v>
      </c>
      <c r="C13" s="15"/>
      <c r="D13" s="15"/>
      <c r="E13" s="15"/>
      <c r="F13" s="26"/>
      <c r="G13" s="26"/>
      <c r="H13" s="26"/>
    </row>
    <row r="14" spans="1:8" ht="18" x14ac:dyDescent="0.35">
      <c r="A14" s="27">
        <v>5</v>
      </c>
      <c r="B14" s="27" t="s">
        <v>76</v>
      </c>
      <c r="C14" s="15"/>
      <c r="D14" s="15"/>
      <c r="E14" s="15"/>
      <c r="F14" s="26"/>
      <c r="G14" s="26"/>
      <c r="H14" s="26"/>
    </row>
    <row r="15" spans="1:8" ht="18" x14ac:dyDescent="0.35">
      <c r="A15" s="27">
        <v>8</v>
      </c>
      <c r="B15" s="27" t="s">
        <v>77</v>
      </c>
      <c r="C15" s="15"/>
      <c r="D15" s="15"/>
      <c r="E15" s="15"/>
      <c r="F15" s="26"/>
      <c r="G15" s="26"/>
      <c r="H15" s="26"/>
    </row>
    <row r="16" spans="1:8" ht="18" x14ac:dyDescent="0.35">
      <c r="A16" s="27">
        <v>10</v>
      </c>
      <c r="B16" s="27" t="s">
        <v>78</v>
      </c>
      <c r="C16" s="15"/>
      <c r="D16" s="15"/>
      <c r="E16" s="15"/>
      <c r="F16" s="26"/>
      <c r="G16" s="26"/>
      <c r="H16" s="26"/>
    </row>
  </sheetData>
  <mergeCells count="9">
    <mergeCell ref="H3:H4"/>
    <mergeCell ref="A11:B11"/>
    <mergeCell ref="A2:H2"/>
    <mergeCell ref="A3:A4"/>
    <mergeCell ref="B3:B4"/>
    <mergeCell ref="C3:D3"/>
    <mergeCell ref="E3:E4"/>
    <mergeCell ref="F3:F4"/>
    <mergeCell ref="G3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E2A2-011A-47D4-8DF4-83C29439916B}">
  <dimension ref="A3:J16"/>
  <sheetViews>
    <sheetView topLeftCell="A6" workbookViewId="0">
      <selection activeCell="H12" sqref="H12"/>
    </sheetView>
  </sheetViews>
  <sheetFormatPr defaultRowHeight="14" x14ac:dyDescent="0.3"/>
  <cols>
    <col min="1" max="1" width="8.7265625" style="1"/>
    <col min="2" max="2" width="14.26953125" style="1" customWidth="1"/>
    <col min="3" max="3" width="17.26953125" style="1" customWidth="1"/>
    <col min="4" max="7" width="8.7265625" style="1"/>
    <col min="8" max="8" width="12" style="1" customWidth="1"/>
    <col min="9" max="9" width="11.26953125" style="1" customWidth="1"/>
    <col min="10" max="16384" width="8.7265625" style="1"/>
  </cols>
  <sheetData>
    <row r="3" spans="1:10" ht="15" x14ac:dyDescent="0.3">
      <c r="A3" s="54" t="s">
        <v>79</v>
      </c>
      <c r="B3" s="54"/>
      <c r="C3" s="54"/>
      <c r="D3" s="54"/>
      <c r="E3" s="54"/>
      <c r="F3" s="54"/>
      <c r="G3" s="54"/>
      <c r="H3" s="54"/>
      <c r="I3" s="54"/>
      <c r="J3" s="54"/>
    </row>
    <row r="4" spans="1:10" ht="58" customHeight="1" x14ac:dyDescent="0.3">
      <c r="A4" s="17" t="s">
        <v>80</v>
      </c>
      <c r="B4" s="16" t="s">
        <v>81</v>
      </c>
      <c r="C4" s="17" t="s">
        <v>82</v>
      </c>
      <c r="D4" s="17" t="s">
        <v>83</v>
      </c>
      <c r="E4" s="16" t="s">
        <v>84</v>
      </c>
      <c r="F4" s="16" t="s">
        <v>85</v>
      </c>
      <c r="G4" s="17" t="s">
        <v>86</v>
      </c>
      <c r="H4" s="17" t="s">
        <v>87</v>
      </c>
      <c r="I4" s="17" t="s">
        <v>88</v>
      </c>
      <c r="J4" s="17" t="s">
        <v>89</v>
      </c>
    </row>
    <row r="5" spans="1:10" ht="15.5" x14ac:dyDescent="0.3">
      <c r="A5" s="28">
        <v>1</v>
      </c>
      <c r="B5" s="13" t="s">
        <v>90</v>
      </c>
      <c r="C5" s="28" t="s">
        <v>91</v>
      </c>
      <c r="D5" s="28"/>
      <c r="E5" s="29">
        <v>7</v>
      </c>
      <c r="F5" s="29">
        <v>3</v>
      </c>
      <c r="G5" s="30"/>
      <c r="H5" s="30"/>
      <c r="I5" s="30"/>
      <c r="J5" s="28"/>
    </row>
    <row r="6" spans="1:10" ht="15.5" x14ac:dyDescent="0.3">
      <c r="A6" s="28">
        <v>2</v>
      </c>
      <c r="B6" s="13" t="s">
        <v>92</v>
      </c>
      <c r="C6" s="28" t="s">
        <v>93</v>
      </c>
      <c r="D6" s="28"/>
      <c r="E6" s="29">
        <v>4</v>
      </c>
      <c r="F6" s="29">
        <v>7</v>
      </c>
      <c r="G6" s="30"/>
      <c r="H6" s="30"/>
      <c r="I6" s="30"/>
      <c r="J6" s="28"/>
    </row>
    <row r="7" spans="1:10" ht="15.5" x14ac:dyDescent="0.3">
      <c r="A7" s="28">
        <v>3</v>
      </c>
      <c r="B7" s="13" t="s">
        <v>94</v>
      </c>
      <c r="C7" s="28" t="s">
        <v>95</v>
      </c>
      <c r="D7" s="28"/>
      <c r="E7" s="29">
        <v>7</v>
      </c>
      <c r="F7" s="29">
        <v>6</v>
      </c>
      <c r="G7" s="30"/>
      <c r="H7" s="30"/>
      <c r="I7" s="30"/>
      <c r="J7" s="28"/>
    </row>
    <row r="8" spans="1:10" ht="15.5" x14ac:dyDescent="0.3">
      <c r="A8" s="28">
        <v>4</v>
      </c>
      <c r="B8" s="13" t="s">
        <v>96</v>
      </c>
      <c r="C8" s="28" t="s">
        <v>97</v>
      </c>
      <c r="D8" s="28"/>
      <c r="E8" s="29">
        <v>6</v>
      </c>
      <c r="F8" s="29">
        <v>6.5</v>
      </c>
      <c r="G8" s="30"/>
      <c r="H8" s="30"/>
      <c r="I8" s="30"/>
      <c r="J8" s="28"/>
    </row>
    <row r="9" spans="1:10" ht="15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5.5" x14ac:dyDescent="0.35">
      <c r="A10" s="32"/>
      <c r="B10" s="32"/>
      <c r="C10" s="32"/>
      <c r="D10" s="32"/>
      <c r="E10" s="32"/>
      <c r="F10" s="32"/>
      <c r="G10" s="55" t="s">
        <v>98</v>
      </c>
      <c r="H10" s="55"/>
      <c r="I10" s="34"/>
      <c r="J10" s="35"/>
    </row>
    <row r="11" spans="1:10" ht="30" x14ac:dyDescent="0.35">
      <c r="A11" s="56" t="s">
        <v>99</v>
      </c>
      <c r="B11" s="36" t="s">
        <v>100</v>
      </c>
      <c r="C11" s="28" t="s">
        <v>101</v>
      </c>
      <c r="D11" s="28" t="s">
        <v>102</v>
      </c>
      <c r="E11" s="28" t="s">
        <v>103</v>
      </c>
      <c r="F11" s="32"/>
      <c r="G11" s="37" t="s">
        <v>104</v>
      </c>
      <c r="H11" s="33" t="s">
        <v>73</v>
      </c>
      <c r="I11" s="15"/>
      <c r="J11" s="15"/>
    </row>
    <row r="12" spans="1:10" ht="15.5" x14ac:dyDescent="0.35">
      <c r="A12" s="57"/>
      <c r="B12" s="36" t="s">
        <v>105</v>
      </c>
      <c r="C12" s="28" t="s">
        <v>106</v>
      </c>
      <c r="D12" s="28" t="s">
        <v>107</v>
      </c>
      <c r="E12" s="28" t="s">
        <v>108</v>
      </c>
      <c r="F12" s="32"/>
      <c r="G12" s="13">
        <v>1</v>
      </c>
      <c r="H12" s="13">
        <v>2</v>
      </c>
      <c r="I12" s="15"/>
      <c r="J12" s="15"/>
    </row>
    <row r="13" spans="1:10" ht="15.5" x14ac:dyDescent="0.35">
      <c r="A13" s="32"/>
      <c r="B13" s="32"/>
      <c r="C13" s="32"/>
      <c r="D13" s="32"/>
      <c r="E13" s="32"/>
      <c r="F13" s="32"/>
      <c r="G13" s="13">
        <v>2</v>
      </c>
      <c r="H13" s="13">
        <v>1.5</v>
      </c>
      <c r="I13" s="15"/>
      <c r="J13" s="15"/>
    </row>
    <row r="14" spans="1:10" ht="15.5" x14ac:dyDescent="0.35">
      <c r="A14" s="32"/>
      <c r="B14" s="32"/>
      <c r="C14" s="32"/>
      <c r="D14" s="32"/>
      <c r="E14" s="32"/>
      <c r="F14" s="32"/>
      <c r="G14" s="13">
        <v>3</v>
      </c>
      <c r="H14" s="13">
        <v>1</v>
      </c>
      <c r="I14" s="15"/>
      <c r="J14" s="15"/>
    </row>
    <row r="15" spans="1:10" ht="15.5" x14ac:dyDescent="0.35">
      <c r="A15" s="32"/>
      <c r="B15" s="32"/>
      <c r="C15" s="32"/>
      <c r="D15" s="32"/>
      <c r="E15" s="32"/>
      <c r="F15" s="32"/>
      <c r="G15" s="13">
        <v>4</v>
      </c>
      <c r="H15" s="13">
        <v>0</v>
      </c>
      <c r="I15" s="15"/>
      <c r="J15" s="15"/>
    </row>
    <row r="16" spans="1:10" ht="15.5" x14ac:dyDescent="0.35">
      <c r="A16" s="22"/>
      <c r="B16" s="22"/>
      <c r="C16" s="22"/>
      <c r="D16" s="22"/>
      <c r="E16" s="22"/>
      <c r="F16" s="22"/>
      <c r="G16" s="15"/>
      <c r="H16" s="15"/>
      <c r="I16" s="15"/>
      <c r="J16" s="15"/>
    </row>
  </sheetData>
  <mergeCells count="3">
    <mergeCell ref="A3:J3"/>
    <mergeCell ref="G10:H10"/>
    <mergeCell ref="A11:A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176-2789-49FC-B1C2-9D5B527D079D}">
  <dimension ref="A1:L20"/>
  <sheetViews>
    <sheetView topLeftCell="A20" workbookViewId="0">
      <selection activeCell="G13" sqref="G13"/>
    </sheetView>
  </sheetViews>
  <sheetFormatPr defaultRowHeight="14" x14ac:dyDescent="0.3"/>
  <cols>
    <col min="1" max="1" width="12.7265625" style="1" customWidth="1"/>
    <col min="2" max="2" width="9.81640625" style="1" customWidth="1"/>
    <col min="3" max="3" width="19" style="1" customWidth="1"/>
    <col min="4" max="10" width="8.7265625" style="1"/>
    <col min="11" max="11" width="9.08984375" style="1" customWidth="1"/>
    <col min="12" max="16384" width="8.7265625" style="1"/>
  </cols>
  <sheetData>
    <row r="1" spans="1:12" ht="20" x14ac:dyDescent="0.4">
      <c r="A1" s="58" t="s">
        <v>109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28" x14ac:dyDescent="0.3">
      <c r="A2" s="40" t="s">
        <v>110</v>
      </c>
      <c r="B2" s="40" t="s">
        <v>111</v>
      </c>
      <c r="C2" s="40" t="s">
        <v>122</v>
      </c>
      <c r="D2" s="40" t="s">
        <v>123</v>
      </c>
      <c r="E2" s="40" t="s">
        <v>124</v>
      </c>
      <c r="F2" s="40" t="s">
        <v>125</v>
      </c>
      <c r="G2" s="40" t="s">
        <v>150</v>
      </c>
      <c r="H2" s="40" t="s">
        <v>151</v>
      </c>
      <c r="I2" s="40" t="s">
        <v>126</v>
      </c>
      <c r="J2" s="40" t="s">
        <v>129</v>
      </c>
      <c r="K2" s="40" t="s">
        <v>127</v>
      </c>
      <c r="L2" s="40" t="s">
        <v>128</v>
      </c>
    </row>
    <row r="3" spans="1:12" x14ac:dyDescent="0.3">
      <c r="A3" s="38">
        <f>DATE(2000,1,7)</f>
        <v>36532</v>
      </c>
      <c r="B3" s="4" t="s">
        <v>112</v>
      </c>
      <c r="C3" s="4"/>
      <c r="D3" s="4">
        <v>50</v>
      </c>
      <c r="E3" s="4"/>
      <c r="F3" s="4"/>
      <c r="G3" s="4"/>
      <c r="H3" s="4"/>
      <c r="I3" s="4"/>
      <c r="J3" s="4"/>
      <c r="K3" s="4"/>
      <c r="L3" s="4"/>
    </row>
    <row r="4" spans="1:12" x14ac:dyDescent="0.3">
      <c r="A4" s="38">
        <f>DATE(2000,2,3)</f>
        <v>36559</v>
      </c>
      <c r="B4" s="4" t="s">
        <v>113</v>
      </c>
      <c r="C4" s="4"/>
      <c r="D4" s="4">
        <v>72</v>
      </c>
      <c r="E4" s="4"/>
      <c r="F4" s="4"/>
      <c r="G4" s="4"/>
      <c r="H4" s="4"/>
      <c r="I4" s="4"/>
      <c r="J4" s="4"/>
      <c r="K4" s="4"/>
      <c r="L4" s="4"/>
    </row>
    <row r="5" spans="1:12" x14ac:dyDescent="0.3">
      <c r="A5" s="38">
        <f>DATE(2000,1,9)</f>
        <v>36534</v>
      </c>
      <c r="B5" s="4" t="s">
        <v>114</v>
      </c>
      <c r="C5" s="4"/>
      <c r="D5" s="4">
        <v>100</v>
      </c>
      <c r="E5" s="4"/>
      <c r="F5" s="4"/>
      <c r="G5" s="4"/>
      <c r="H5" s="4"/>
      <c r="I5" s="4"/>
      <c r="J5" s="4"/>
      <c r="K5" s="4"/>
      <c r="L5" s="4"/>
    </row>
    <row r="6" spans="1:12" x14ac:dyDescent="0.3">
      <c r="A6" s="38">
        <f>DATE(2000,2,9)</f>
        <v>36565</v>
      </c>
      <c r="B6" s="4" t="s">
        <v>115</v>
      </c>
      <c r="C6" s="4"/>
      <c r="D6" s="4">
        <v>48</v>
      </c>
      <c r="E6" s="4"/>
      <c r="F6" s="4"/>
      <c r="G6" s="4"/>
      <c r="H6" s="4"/>
      <c r="I6" s="4"/>
      <c r="J6" s="4"/>
      <c r="K6" s="4"/>
      <c r="L6" s="4"/>
    </row>
    <row r="7" spans="1:12" x14ac:dyDescent="0.3">
      <c r="A7" s="38">
        <f>DATE(2000,3,31)</f>
        <v>36616</v>
      </c>
      <c r="B7" s="4" t="s">
        <v>116</v>
      </c>
      <c r="C7" s="4"/>
      <c r="D7" s="4">
        <v>30</v>
      </c>
      <c r="E7" s="4"/>
      <c r="F7" s="4"/>
      <c r="G7" s="4"/>
      <c r="H7" s="4"/>
      <c r="I7" s="4"/>
      <c r="J7" s="4"/>
      <c r="K7" s="4"/>
      <c r="L7" s="4"/>
    </row>
    <row r="8" spans="1:12" x14ac:dyDescent="0.3">
      <c r="A8" s="38">
        <f>DATE(2000,1,10)</f>
        <v>36535</v>
      </c>
      <c r="B8" s="4" t="s">
        <v>117</v>
      </c>
      <c r="C8" s="4"/>
      <c r="D8" s="4">
        <v>125</v>
      </c>
      <c r="E8" s="4"/>
      <c r="F8" s="4"/>
      <c r="G8" s="4"/>
      <c r="H8" s="4"/>
      <c r="I8" s="4"/>
      <c r="J8" s="4"/>
      <c r="K8" s="4"/>
      <c r="L8" s="4"/>
    </row>
    <row r="9" spans="1:12" x14ac:dyDescent="0.3">
      <c r="A9" s="38">
        <f>DATE(2000,3,2)</f>
        <v>36587</v>
      </c>
      <c r="B9" s="4" t="s">
        <v>118</v>
      </c>
      <c r="C9" s="4"/>
      <c r="D9" s="4">
        <v>97</v>
      </c>
      <c r="E9" s="4"/>
      <c r="F9" s="4"/>
      <c r="G9" s="4"/>
      <c r="H9" s="4"/>
      <c r="I9" s="4"/>
      <c r="J9" s="4"/>
      <c r="K9" s="4"/>
      <c r="L9" s="4"/>
    </row>
    <row r="10" spans="1:12" x14ac:dyDescent="0.3">
      <c r="A10" s="38">
        <f>DATE(2000,2,10)</f>
        <v>36566</v>
      </c>
      <c r="B10" s="4" t="s">
        <v>119</v>
      </c>
      <c r="C10" s="4"/>
      <c r="D10" s="4">
        <v>57</v>
      </c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38">
        <f>DATE(2000,3,15)</f>
        <v>36600</v>
      </c>
      <c r="B11" s="4" t="s">
        <v>120</v>
      </c>
      <c r="C11" s="4"/>
      <c r="D11" s="4">
        <v>65</v>
      </c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38">
        <f>DATE(2000,2,20)</f>
        <v>36576</v>
      </c>
      <c r="B12" s="4" t="s">
        <v>121</v>
      </c>
      <c r="C12" s="4"/>
      <c r="D12" s="4">
        <v>88</v>
      </c>
      <c r="E12" s="4"/>
      <c r="F12" s="4"/>
      <c r="G12" s="4"/>
      <c r="H12" s="4"/>
      <c r="I12" s="4"/>
      <c r="J12" s="4"/>
      <c r="K12" s="4"/>
      <c r="L12" s="4"/>
    </row>
    <row r="14" spans="1:12" ht="15.5" x14ac:dyDescent="0.35">
      <c r="B14" s="59" t="s">
        <v>130</v>
      </c>
      <c r="C14" s="59"/>
      <c r="D14" s="59"/>
      <c r="E14" s="59"/>
      <c r="J14" s="15" t="s">
        <v>145</v>
      </c>
    </row>
    <row r="15" spans="1:12" x14ac:dyDescent="0.3">
      <c r="B15" s="41" t="s">
        <v>131</v>
      </c>
      <c r="C15" s="41" t="s">
        <v>137</v>
      </c>
      <c r="D15" s="41" t="s">
        <v>143</v>
      </c>
      <c r="E15" s="41" t="s">
        <v>144</v>
      </c>
      <c r="J15" s="41" t="s">
        <v>146</v>
      </c>
      <c r="K15" s="41" t="s">
        <v>149</v>
      </c>
    </row>
    <row r="16" spans="1:12" x14ac:dyDescent="0.3">
      <c r="B16" s="4" t="s">
        <v>132</v>
      </c>
      <c r="C16" s="4" t="s">
        <v>138</v>
      </c>
      <c r="D16" s="4">
        <v>2000</v>
      </c>
      <c r="E16" s="4">
        <v>2300</v>
      </c>
      <c r="J16" s="4" t="s">
        <v>101</v>
      </c>
      <c r="K16" s="39">
        <v>0.02</v>
      </c>
    </row>
    <row r="17" spans="2:11" x14ac:dyDescent="0.3">
      <c r="B17" s="4" t="s">
        <v>133</v>
      </c>
      <c r="C17" s="4" t="s">
        <v>139</v>
      </c>
      <c r="D17" s="4">
        <v>2400</v>
      </c>
      <c r="E17" s="4">
        <v>2700</v>
      </c>
      <c r="J17" s="4" t="s">
        <v>102</v>
      </c>
      <c r="K17" s="39">
        <v>0</v>
      </c>
    </row>
    <row r="18" spans="2:11" x14ac:dyDescent="0.3">
      <c r="B18" s="4" t="s">
        <v>134</v>
      </c>
      <c r="C18" s="4" t="s">
        <v>140</v>
      </c>
      <c r="D18" s="4">
        <v>2200</v>
      </c>
      <c r="E18" s="4">
        <v>2500</v>
      </c>
      <c r="J18" s="4" t="s">
        <v>103</v>
      </c>
      <c r="K18" s="39">
        <v>0.01</v>
      </c>
    </row>
    <row r="19" spans="2:11" x14ac:dyDescent="0.3">
      <c r="B19" s="4" t="s">
        <v>135</v>
      </c>
      <c r="C19" s="4" t="s">
        <v>141</v>
      </c>
      <c r="D19" s="4">
        <v>2600</v>
      </c>
      <c r="E19" s="4">
        <v>3000</v>
      </c>
      <c r="J19" s="4" t="s">
        <v>147</v>
      </c>
      <c r="K19" s="39">
        <v>0.03</v>
      </c>
    </row>
    <row r="20" spans="2:11" x14ac:dyDescent="0.3">
      <c r="B20" s="4" t="s">
        <v>136</v>
      </c>
      <c r="C20" s="4" t="s">
        <v>142</v>
      </c>
      <c r="D20" s="4">
        <v>2300</v>
      </c>
      <c r="E20" s="4">
        <v>25000</v>
      </c>
      <c r="J20" s="4" t="s">
        <v>148</v>
      </c>
      <c r="K20" s="39">
        <v>2.5</v>
      </c>
    </row>
  </sheetData>
  <mergeCells count="2">
    <mergeCell ref="A1:L1"/>
    <mergeCell ref="B14:E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 1</vt:lpstr>
      <vt:lpstr>BAI 2</vt:lpstr>
      <vt:lpstr>BAI 3</vt:lpstr>
      <vt:lpstr>BAI 4</vt:lpstr>
      <vt:lpstr>BAI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Bảo Nam Blog</dc:creator>
  <cp:lastModifiedBy>Trần Mỹ Nguyên</cp:lastModifiedBy>
  <cp:lastPrinted>2025-11-23T07:27:02Z</cp:lastPrinted>
  <dcterms:created xsi:type="dcterms:W3CDTF">2019-11-25T16:29:19Z</dcterms:created>
  <dcterms:modified xsi:type="dcterms:W3CDTF">2025-11-24T08:59:25Z</dcterms:modified>
</cp:coreProperties>
</file>